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dwall\Desktop\Course Student Work\BA5200 Final Report\Report\Competitor Benchmarking\"/>
    </mc:Choice>
  </mc:AlternateContent>
  <xr:revisionPtr revIDLastSave="0" documentId="13_ncr:1_{7206D63F-DF30-4555-9DE9-58F5211A65E6}" xr6:coauthVersionLast="47" xr6:coauthVersionMax="47" xr10:uidLastSave="{00000000-0000-0000-0000-000000000000}"/>
  <bookViews>
    <workbookView xWindow="-90" yWindow="-90" windowWidth="19380" windowHeight="11460" activeTab="1" xr2:uid="{00000000-000D-0000-FFFF-FFFF00000000}"/>
  </bookViews>
  <sheets>
    <sheet name="Matrix" sheetId="1" r:id="rId1"/>
    <sheet name="Learning 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gZIBrilg2jxfZ145mbpt5uCjd/yXio5y/tUF9KTDXY="/>
    </ext>
  </extLst>
</workbook>
</file>

<file path=xl/calcChain.xml><?xml version="1.0" encoding="utf-8"?>
<calcChain xmlns="http://schemas.openxmlformats.org/spreadsheetml/2006/main">
  <c r="M8" i="2" l="1"/>
  <c r="L8" i="2"/>
  <c r="K8" i="2"/>
  <c r="J8" i="2"/>
  <c r="I8" i="2"/>
  <c r="H8" i="2"/>
  <c r="G8" i="2"/>
  <c r="F8" i="2"/>
  <c r="E8" i="2"/>
  <c r="D8" i="2"/>
  <c r="C8" i="2"/>
  <c r="B8" i="2"/>
  <c r="M7" i="2"/>
  <c r="L7" i="2"/>
  <c r="K7" i="2"/>
  <c r="J7" i="2"/>
  <c r="I7" i="2"/>
  <c r="H7" i="2"/>
  <c r="G7" i="2"/>
  <c r="F7" i="2"/>
  <c r="E7" i="2"/>
  <c r="D7" i="2"/>
  <c r="C7" i="2"/>
  <c r="B7" i="2"/>
  <c r="M6" i="2"/>
  <c r="L6" i="2"/>
  <c r="K6" i="2"/>
  <c r="J6" i="2"/>
  <c r="I6" i="2"/>
  <c r="H6" i="2"/>
  <c r="G6" i="2"/>
  <c r="F6" i="2"/>
  <c r="E6" i="2"/>
  <c r="D6" i="2"/>
  <c r="C6" i="2"/>
  <c r="B6" i="2"/>
  <c r="M5" i="2"/>
  <c r="L5" i="2"/>
  <c r="K5" i="2"/>
  <c r="J5" i="2"/>
  <c r="I5" i="2"/>
  <c r="H5" i="2"/>
  <c r="G5" i="2"/>
  <c r="F5" i="2"/>
  <c r="E5" i="2"/>
  <c r="D5" i="2"/>
  <c r="C5" i="2"/>
  <c r="B5" i="2"/>
  <c r="M4" i="2"/>
  <c r="L4" i="2"/>
  <c r="K4" i="2"/>
  <c r="J4" i="2"/>
  <c r="I4" i="2"/>
  <c r="H4" i="2"/>
  <c r="G4" i="2"/>
  <c r="F4" i="2"/>
  <c r="E4" i="2"/>
  <c r="D4" i="2"/>
  <c r="C4" i="2"/>
  <c r="B4" i="2"/>
  <c r="M3" i="2"/>
  <c r="L3" i="2"/>
  <c r="L9" i="2" s="1"/>
  <c r="K3" i="2"/>
  <c r="J3" i="2"/>
  <c r="I3" i="2"/>
  <c r="H3" i="2"/>
  <c r="G3" i="2"/>
  <c r="F3" i="2"/>
  <c r="E3" i="2"/>
  <c r="D3" i="2"/>
  <c r="D9" i="2" s="1"/>
  <c r="C3" i="2"/>
  <c r="B3" i="2"/>
  <c r="B9" i="2" s="1"/>
  <c r="M2" i="2"/>
  <c r="L2" i="2"/>
  <c r="K2" i="2"/>
  <c r="J2" i="2"/>
  <c r="I2" i="2"/>
  <c r="H2" i="2"/>
  <c r="H9" i="2" s="1"/>
  <c r="G2" i="2"/>
  <c r="G9" i="2" s="1"/>
  <c r="F2" i="2"/>
  <c r="F9" i="2" s="1"/>
  <c r="E2" i="2"/>
  <c r="D2" i="2"/>
  <c r="C2" i="2"/>
  <c r="B2" i="2"/>
  <c r="M1" i="2"/>
  <c r="L1" i="2"/>
  <c r="K1" i="2"/>
  <c r="J1" i="2"/>
  <c r="I1" i="2"/>
  <c r="H1" i="2"/>
  <c r="G1" i="2"/>
  <c r="F1" i="2"/>
  <c r="E1" i="2"/>
  <c r="D1" i="2"/>
  <c r="C1" i="2"/>
  <c r="B1" i="2"/>
  <c r="N98" i="1"/>
  <c r="N97" i="1"/>
  <c r="N96" i="1"/>
  <c r="N95" i="1"/>
  <c r="N94" i="1"/>
  <c r="M93" i="1"/>
  <c r="L93" i="1"/>
  <c r="K93" i="1"/>
  <c r="J93" i="1"/>
  <c r="I93" i="1"/>
  <c r="H93" i="1"/>
  <c r="G93" i="1"/>
  <c r="F93" i="1"/>
  <c r="E93" i="1"/>
  <c r="D93" i="1"/>
  <c r="C93" i="1"/>
  <c r="B93" i="1"/>
  <c r="N93" i="1" s="1"/>
  <c r="N92" i="1"/>
  <c r="N91" i="1"/>
  <c r="N90" i="1"/>
  <c r="N89" i="1"/>
  <c r="N88" i="1"/>
  <c r="M87" i="1"/>
  <c r="L87" i="1"/>
  <c r="K87" i="1"/>
  <c r="J87" i="1"/>
  <c r="I87" i="1"/>
  <c r="H87" i="1"/>
  <c r="G87" i="1"/>
  <c r="F87" i="1"/>
  <c r="E87" i="1"/>
  <c r="D87" i="1"/>
  <c r="C87" i="1"/>
  <c r="B87" i="1"/>
  <c r="N86" i="1"/>
  <c r="N85" i="1"/>
  <c r="N84" i="1"/>
  <c r="N83" i="1"/>
  <c r="N82" i="1"/>
  <c r="M81" i="1"/>
  <c r="L81" i="1"/>
  <c r="K81" i="1"/>
  <c r="J81" i="1"/>
  <c r="I81" i="1"/>
  <c r="H81" i="1"/>
  <c r="G81" i="1"/>
  <c r="F81" i="1"/>
  <c r="E81" i="1"/>
  <c r="D81" i="1"/>
  <c r="C81" i="1"/>
  <c r="B81" i="1"/>
  <c r="N80" i="1"/>
  <c r="N79" i="1"/>
  <c r="N78" i="1"/>
  <c r="N77" i="1"/>
  <c r="M76" i="1"/>
  <c r="L76" i="1"/>
  <c r="K76" i="1"/>
  <c r="J76" i="1"/>
  <c r="I76" i="1"/>
  <c r="H76" i="1"/>
  <c r="G76" i="1"/>
  <c r="F76" i="1"/>
  <c r="E76" i="1"/>
  <c r="D76" i="1"/>
  <c r="C76" i="1"/>
  <c r="B76" i="1"/>
  <c r="N75" i="1"/>
  <c r="N74" i="1"/>
  <c r="N73" i="1"/>
  <c r="N72" i="1"/>
  <c r="N71" i="1"/>
  <c r="M70" i="1"/>
  <c r="L70" i="1"/>
  <c r="K70" i="1"/>
  <c r="J70" i="1"/>
  <c r="I70" i="1"/>
  <c r="H70" i="1"/>
  <c r="G70" i="1"/>
  <c r="F70" i="1"/>
  <c r="E70" i="1"/>
  <c r="D70" i="1"/>
  <c r="C70" i="1"/>
  <c r="B70" i="1"/>
  <c r="N69" i="1"/>
  <c r="N68" i="1"/>
  <c r="N67" i="1"/>
  <c r="N66" i="1"/>
  <c r="N65" i="1"/>
  <c r="M64" i="1"/>
  <c r="L64" i="1"/>
  <c r="K64" i="1"/>
  <c r="J64" i="1"/>
  <c r="I64" i="1"/>
  <c r="H64" i="1"/>
  <c r="G64" i="1"/>
  <c r="F64" i="1"/>
  <c r="N64" i="1" s="1"/>
  <c r="E64" i="1"/>
  <c r="D64" i="1"/>
  <c r="C64" i="1"/>
  <c r="B64" i="1"/>
  <c r="N63" i="1"/>
  <c r="N62" i="1"/>
  <c r="N61" i="1"/>
  <c r="N60" i="1"/>
  <c r="N59" i="1"/>
  <c r="M58" i="1"/>
  <c r="L58" i="1"/>
  <c r="K58" i="1"/>
  <c r="J58" i="1"/>
  <c r="I58" i="1"/>
  <c r="H58" i="1"/>
  <c r="G58" i="1"/>
  <c r="F58" i="1"/>
  <c r="E58" i="1"/>
  <c r="D58" i="1"/>
  <c r="C58" i="1"/>
  <c r="B58" i="1"/>
  <c r="N57" i="1"/>
  <c r="N56" i="1"/>
  <c r="N55" i="1"/>
  <c r="N54" i="1"/>
  <c r="N53" i="1"/>
  <c r="M52" i="1"/>
  <c r="L52" i="1"/>
  <c r="K52" i="1"/>
  <c r="J52" i="1"/>
  <c r="I52" i="1"/>
  <c r="H52" i="1"/>
  <c r="G52" i="1"/>
  <c r="F52" i="1"/>
  <c r="E52" i="1"/>
  <c r="D52" i="1"/>
  <c r="C52" i="1"/>
  <c r="B52" i="1"/>
  <c r="N51" i="1"/>
  <c r="N50" i="1"/>
  <c r="N49" i="1"/>
  <c r="N48" i="1"/>
  <c r="M47" i="1"/>
  <c r="L47" i="1"/>
  <c r="K47" i="1"/>
  <c r="J47" i="1"/>
  <c r="I47" i="1"/>
  <c r="H47" i="1"/>
  <c r="G47" i="1"/>
  <c r="F47" i="1"/>
  <c r="E47" i="1"/>
  <c r="D47" i="1"/>
  <c r="C47" i="1"/>
  <c r="B47" i="1"/>
  <c r="N46" i="1"/>
  <c r="N45" i="1"/>
  <c r="N44" i="1"/>
  <c r="N43" i="1"/>
  <c r="N42" i="1"/>
  <c r="N41" i="1"/>
  <c r="N40" i="1"/>
  <c r="M39" i="1"/>
  <c r="L39" i="1"/>
  <c r="K39" i="1"/>
  <c r="J39" i="1"/>
  <c r="I39" i="1"/>
  <c r="H39" i="1"/>
  <c r="G39" i="1"/>
  <c r="F39" i="1"/>
  <c r="E39" i="1"/>
  <c r="D39" i="1"/>
  <c r="C39" i="1"/>
  <c r="B39" i="1"/>
  <c r="N38" i="1"/>
  <c r="N37" i="1"/>
  <c r="N36" i="1"/>
  <c r="N35" i="1"/>
  <c r="N34" i="1"/>
  <c r="N33" i="1"/>
  <c r="M32" i="1"/>
  <c r="L32" i="1"/>
  <c r="K32" i="1"/>
  <c r="J32" i="1"/>
  <c r="I32" i="1"/>
  <c r="H32" i="1"/>
  <c r="G32" i="1"/>
  <c r="F32" i="1"/>
  <c r="E32" i="1"/>
  <c r="D32" i="1"/>
  <c r="C32" i="1"/>
  <c r="B32" i="1"/>
  <c r="N31" i="1"/>
  <c r="N30" i="1"/>
  <c r="N29" i="1"/>
  <c r="N28" i="1"/>
  <c r="N27" i="1"/>
  <c r="N26" i="1"/>
  <c r="N25" i="1"/>
  <c r="N24" i="1"/>
  <c r="N23" i="1"/>
  <c r="M22" i="1"/>
  <c r="L22" i="1"/>
  <c r="K22" i="1"/>
  <c r="J22" i="1"/>
  <c r="I22" i="1"/>
  <c r="H22" i="1"/>
  <c r="G22" i="1"/>
  <c r="F22" i="1"/>
  <c r="E22" i="1"/>
  <c r="D22" i="1"/>
  <c r="C22" i="1"/>
  <c r="B22" i="1"/>
  <c r="N22" i="1" s="1"/>
  <c r="N21" i="1"/>
  <c r="N20" i="1"/>
  <c r="N19" i="1"/>
  <c r="N18" i="1"/>
  <c r="N17" i="1"/>
  <c r="N16" i="1"/>
  <c r="N15" i="1"/>
  <c r="M14" i="1"/>
  <c r="L14" i="1"/>
  <c r="K14" i="1"/>
  <c r="J14" i="1"/>
  <c r="I14" i="1"/>
  <c r="H14" i="1"/>
  <c r="G14" i="1"/>
  <c r="F14" i="1"/>
  <c r="E14" i="1"/>
  <c r="D14" i="1"/>
  <c r="C14" i="1"/>
  <c r="B14" i="1"/>
  <c r="M9" i="1"/>
  <c r="L9" i="1"/>
  <c r="K9" i="1"/>
  <c r="J9" i="1"/>
  <c r="I9" i="1"/>
  <c r="I99" i="1" s="1"/>
  <c r="H9" i="1"/>
  <c r="G9" i="1"/>
  <c r="F9" i="1"/>
  <c r="E9" i="1"/>
  <c r="D9" i="1"/>
  <c r="C9" i="1"/>
  <c r="B9" i="1"/>
  <c r="B8" i="1"/>
  <c r="B99" i="1" l="1"/>
  <c r="J99" i="1"/>
  <c r="N70" i="1"/>
  <c r="C99" i="1"/>
  <c r="D99" i="1"/>
  <c r="L99" i="1"/>
  <c r="N47" i="1"/>
  <c r="N58" i="1"/>
  <c r="M99" i="1"/>
  <c r="I9" i="2"/>
  <c r="E9" i="2"/>
  <c r="M9" i="2"/>
  <c r="F99" i="1"/>
  <c r="K99" i="1"/>
  <c r="N52" i="1"/>
  <c r="N32" i="1"/>
  <c r="E99" i="1"/>
  <c r="G99" i="1"/>
  <c r="N76" i="1"/>
  <c r="N81" i="1"/>
  <c r="H99" i="1"/>
  <c r="N39" i="1"/>
  <c r="N87" i="1"/>
  <c r="C9" i="2"/>
  <c r="K9" i="2"/>
  <c r="J9" i="2"/>
  <c r="N14" i="1"/>
  <c r="N9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ID#AAABws5Ul3w
Stuart Tyson    (2025-11-24 23:12:27)
TD Ameritrade is now part of Schwab, TD Bank is a separate entity.</t>
        </r>
      </text>
    </comment>
    <comment ref="F5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ID#AAABw9k0Yok
Zac Hassman    (2025-12-03 01:20:00)
https://www.tradingview.com/pricing/</t>
        </r>
      </text>
    </comment>
    <comment ref="G5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ID#AAABw9k0Yo0
Zac Hassman    (2025-12-03 01:23:04)
https://www.ally.com/invest/commissions-and-fees</t>
        </r>
      </text>
    </comment>
    <comment ref="I5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ID#AAABw9k0Yo4
Zac Hassman    (2025-12-03 01:25:06)
https://www.schwab.com/pricing</t>
        </r>
      </text>
    </comment>
    <comment ref="J5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ID#AAABw9k0YpA
Zac Hassman    (2025-12-03 01:29:33)
https://www.td.com/ca/en/investing/direct-investing/pricing</t>
        </r>
      </text>
    </comment>
    <comment ref="M5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ID#AAABw9k0YpE
Zac Hassman    (2025-12-03 01:31:26)
https://www.webull.com/pricing</t>
        </r>
      </text>
    </comment>
    <comment ref="B6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ID#AAABw9k0Yog
Zac Hassman    (2025-12-03 01:18:54)
https://www.neugroup.com/bloomberg-terminals-how-much-more-youll-pay-next-year/</t>
        </r>
      </text>
    </comment>
    <comment ref="G6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ID#AAABw9k0Yoo
Zac Hassman    (2025-12-03 01:22:04)
cash enhanced Robo Portfolio</t>
        </r>
      </text>
    </comment>
    <comment ref="D7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ID#AAABw9k0Yoc
Zac Hassman    (2025-12-03 01:17:25)
Robot Advisor</t>
        </r>
      </text>
    </comment>
    <comment ref="G7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ID#AAABw9k0Yow
Zac Hassman    (2025-12-03 01:22:52)
for market focused portfolio</t>
        </r>
      </text>
    </comment>
    <comment ref="D8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ID#AAABw9k0YoY
Zac Hassman    (2025-12-03 01:16:28)
https://www.fidelity.com/why-fidelity/pricing-fees?imm_pid=166275537481&amp;immid=100734_SEA&amp;imm_eid=ep54378584144&amp;utm_source=GOOGLE&amp;utm_medium=paid_search&amp;utm_account_id=3278283083&amp;utm_campaign=BRK&amp;utm_content=166275537481&amp;utm_term=fidelity+brokerage+fees&amp;utm_campaign_id=100734&amp;utm_id=21316557979&amp;gclsrc=aw.ds&amp;gad_source=1&amp;gad_campaignid=21316557979&amp;gbraid=0AAAAAD7OUhJ4LP-lMG0F2dwKnqs5_FaBt&amp;gclid=Cj0KCQiAubrJBhCbARIsAHIdxD_rCDmjlgKyoA06vE6xQ-aHNgjrNUopGId56MtyDtCJl5feBcAXlbwaAooEEALw_wcB</t>
        </r>
      </text>
    </comment>
    <comment ref="G8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ID#AAABw9k0Yos
Zac Hassman    (2025-12-03 01:22:37)
For Personal Advice</t>
        </r>
      </text>
    </comment>
    <comment ref="I8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ID#AAABw9k0Yo8
Zac Hassman    (2025-12-03 01:25:21)
Per month, Schwab Intelligent Portfolios Premium
https://www.schwab.com/pricing</t>
        </r>
      </text>
    </comment>
    <comment ref="L8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ID#AAABw9k0YpQ
Zac Hassman    (2025-12-03 01:34:31)
Per Broker Assisted Trade</t>
        </r>
      </text>
    </comment>
    <comment ref="M8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ID#AAABw9k0YpM
Zac Hassman    (2025-12-03 01:32:37)
Premium subscription (monthly) 
https://www.webull.com/pricing</t>
        </r>
      </text>
    </comment>
    <comment ref="B16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ID#AAABws5Ulzk
Stuart Tyson    (2025-11-24 22:06:42)
Training is primarily related to use of their product.  It appears that users are expected to understand basic/advanced concepts.</t>
        </r>
      </text>
    </comment>
    <comment ref="J16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ID#AAABws5Ul30
Stuart Tyson    (2025-11-24 23:14:07)
Learning content is banking related only (can probably remove this from our competitor list).</t>
        </r>
      </text>
    </comment>
    <comment ref="B20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ID#AAABwzAMgs4
Gary W    (2025-11-30 18:01:05)
Bloomberg’s financial software training would reasonably be rated a 4 out of 5. They provide extensive resources, but the platform’s complexity means some users still find the learning curve steep.</t>
        </r>
      </text>
    </comment>
    <comment ref="C20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ID#AAABwzAMgs8
Gary W    (2025-11-30 18:03:34)
Robinhood’s financial software training would reasonably be rated a 3 out of 5. They provide accessible educational resources, but these are not as comprehensive or advanced as those offered by more established brokerages.</t>
        </r>
      </text>
    </comment>
    <comment ref="D20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ID#AAABwzAMgtA
Gary W    (2025-11-30 18:06:29)
Fidelity’s financial software training would reasonably be rated a 4 out of 5. They provide extensive educational resources and platform training, but the sheer breadth of tools can make navigation challenging for beginners.</t>
        </r>
      </text>
    </comment>
    <comment ref="E20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ID#AAABwzAMgtE
Gary W    (2025-11-30 18:19:36)
Investopedia Simulator’s financial software training would reasonably be rated a 3 out of 5. It provides useful resources for beginners, but lacks the depth and structured training found in more advanced platforms.</t>
        </r>
      </text>
    </comment>
    <comment ref="F20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ID#AAABwzAMgtI
Gary W    (2025-11-30 18:20:59)
TradingView’s financial software training would reasonably be rated a 4 out of 5. They provide strong tutorials, community-driven learning, and accessible resources, but the advanced features still carry a learning curve that prevents it from being a perfect 5.</t>
        </r>
      </text>
    </comment>
    <comment ref="G20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ID#AAABwzAMgtM
Gary W    (2025-11-30 18:21:58)
Ally Invest’s financial software training would reasonably be rated a 3 out of 5. They provide accessible resources for beginners, but their training tools are not as comprehensive or advanced as those offered by larger brokerages.</t>
        </r>
      </text>
    </comment>
    <comment ref="H20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ID#AAABwzAMgtU
Gary W    (2025-11-30 18:25:44)
Empower’s financial software training would reasonably be rated a 3 out of 5. They provide helpful resources and guidance, but their training tools are not as structured or advanced as those offered by larger brokerages or specialized platforms.</t>
        </r>
      </text>
    </comment>
    <comment ref="I20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ID#AAABwzAMgtY
Gary W    (2025-11-30 18:26:46)
Charles Schwab’s financial software training would reasonably be rated a 4 out of 5. They provide extensive educational resources and platform support, but the depth and complexity of their tools mean some users still face a learning curve.</t>
        </r>
      </text>
    </comment>
    <comment ref="J20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ID#AAABwzAMgtc
Gary W    (2025-11-30 18:27:44)
TD Bank’s financial software training would reasonably be rated a 3 out of 5. They provide helpful resources for customers, but their training tools are not as extensive or advanced as those offered by larger brokerages like Fidelity or Charles Schwab.</t>
        </r>
      </text>
    </comment>
    <comment ref="K20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ID#AAABwzAMgtg
Gary W    (2025-11-30 18:28:35)
T. Rowe Price’s financial software training would reasonably be rated a 3 out of 5. They provide helpful resources for investors, but their training tools are more focused on financial education and guidance rather than deep platform-specific tutorials.</t>
        </r>
      </text>
    </comment>
    <comment ref="L20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ID#AAABwzAMgtk
Gary W    (2025-11-30 18:29:16)
Vanguard’s financial software training would reasonably be rated a 3 out of 5. They provide helpful resources for investors, but their training tools are more focused on financial education and guidance than on deep platform-specific tutorials.</t>
        </r>
      </text>
    </comment>
    <comment ref="M20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ID#AAABwzAMgto
Gary W    (2025-11-30 18:29:59)
Webull’s financial software training would reasonably be rated a 3 out of 5. They provide accessible resources and tutorials, but their training tools are not as comprehensive or structured as those offered by larger brokerages like Fidelity or Schwab.</t>
        </r>
      </text>
    </comment>
    <comment ref="P20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ID#AAABwzAMgts
Gary W    (2025-11-30 18:34:58)
I used Microsoft's Copilot with the following prompt for each platform. "How would you rate [Insert Platform]'s financial software training on how to use its platform features on a scale of 1 to 5 with 1 meaning there are no training tools to learn their platform and 5 meaning they have the best training tools to learn their platform?</t>
        </r>
      </text>
    </comment>
    <comment ref="A21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ID#AAABw9czUs0
Zac Hassman    (2025-12-02 23:31:39)
1 = no guidance at all (pure self-directed order entry).
2 = education, research, and tools that show you how to trade (screeners, analytics, simulators, help docs).
3 = product gives basic, explicit recommendations (e.g., model portfolios, suggested allocations) but either not fully automated or not aggressively prescriptive.
4 = strong guided service (automated portfolio construction + ongoing rebalancing, plus human/advisor options).
5 = best-in-class automated recommendations — highly personalized, proactive trade recommendations that are integrated and actively managed for the user</t>
        </r>
      </text>
    </comment>
    <comment ref="B21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ID#AAABw9czUsM
Zac Hassman    (2025-12-02 22:54:32)
Bloomberg is an institutional/professional terminal with deep analytics, news, model screens and execution tools that show you how to research and execute trades, but it does not operate as a consumer-style “recommend trades for you” guided robo service.</t>
        </r>
      </text>
    </comment>
    <comment ref="C21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ID#AAABw9czUsQ
Zac Hassman    (2025-12-02 22:55:31)
Robinhood offers in-app educational content (Robinhood Learn), market data and simple screener/alerts, but it does not provide a full robo/recommendation engine that actively recommends specific trades as part of a managed program.</t>
        </r>
      </text>
    </comment>
    <comment ref="D21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ID#AAABw9czUsY
Zac Hassman    (2025-12-02 22:55:48)
Fidelity offers both active trading platforms and a true robo-advisor (Fidelity Go) that builds and recommends portfolios and will automatically manage/rebalance — plus premium advisory services — so it provides strong guided investing and trade/rebalancing recommendations.</t>
        </r>
      </text>
    </comment>
    <comment ref="E21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ID#AAABw9czUsc
Zac Hassman    (2025-12-02 22:56:06)
The Investopedia Simulator is an educational/training tool that teaches order mechanics and lets you practice trading in a simulated environment — useful for guidance and learning, but it doesn’t recommend or auto-trade for you.</t>
        </r>
      </text>
    </comment>
    <comment ref="F21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ID#AAABw9czUsk
Zac Hassman    (2025-12-02 23:21:31)
does not provide fully guided recommendations or automated portfolios. It helps you “see how to trade” (when/where price breaks, historically what might have worked), but it leaves trade decision &amp; execution in your hands.</t>
        </r>
      </text>
    </comment>
    <comment ref="I21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ID#AAABw9czUso
Zac Hassman    (2025-12-02 23:26:26)
Schwab offers a robo-advisor/managed portfolio service (e.g., “Intelligent Portfolios”).  Schwab provides automatic portfolio construction + rebalancing.</t>
        </r>
      </text>
    </comment>
    <comment ref="K21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ID#AAABw9czUsg
Zac Hassman    (2025-12-02 22:57:01)
T. Rowe Price provides model portfolio recommendations and advisor/managed account services (it will recommend portfolios based on timeline/risk), but its brokerage experience is primarily advice + model portfolios rather than a best-in-class automated trading recommendation engine.</t>
        </r>
      </text>
    </comment>
    <comment ref="L21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ID#AAABw9czUss
Zac Hassman    (2025-12-02 23:30:26)
Vanguard offers a robo-advisor service Vanguard Digital Advisor that builds and manages portfolios automatically, based on your goals, risk tolerance, and time horizon.
They also offer hybrid human + digital adviser services for clients above certain minimums. That means Vanguard doesn’t just show how to trade, it recommends and builds a portfolio for you, and handles ongoing management.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n+Kqrbk1pxaClGVSdrWMZw44wRg=="/>
    </ext>
  </extLst>
</comments>
</file>

<file path=xl/sharedStrings.xml><?xml version="1.0" encoding="utf-8"?>
<sst xmlns="http://schemas.openxmlformats.org/spreadsheetml/2006/main" count="242" uniqueCount="140">
  <si>
    <t>KEY</t>
  </si>
  <si>
    <t>1=Absent</t>
  </si>
  <si>
    <t>2=Minimal</t>
  </si>
  <si>
    <t>3=Basic</t>
  </si>
  <si>
    <t>4=Strong</t>
  </si>
  <si>
    <t>5=Best In Class</t>
  </si>
  <si>
    <t>Feature</t>
  </si>
  <si>
    <t>Bloomberg</t>
  </si>
  <si>
    <t>Robinhood</t>
  </si>
  <si>
    <t>Fidelity</t>
  </si>
  <si>
    <t>Investopedia Sim</t>
  </si>
  <si>
    <t>TradingView</t>
  </si>
  <si>
    <t>Ally Invest</t>
  </si>
  <si>
    <t>Empower</t>
  </si>
  <si>
    <t>Charles Schwab</t>
  </si>
  <si>
    <t>TD Bank</t>
  </si>
  <si>
    <t>T. Rowe Price</t>
  </si>
  <si>
    <t>Vanguard</t>
  </si>
  <si>
    <t>Webull</t>
  </si>
  <si>
    <t>Average Score</t>
  </si>
  <si>
    <t xml:space="preserve">Notes </t>
  </si>
  <si>
    <t>Cost</t>
  </si>
  <si>
    <t xml:space="preserve">Special Scale, each target user profile gets 1.25 points. </t>
  </si>
  <si>
    <t>Monetiation Strategy</t>
  </si>
  <si>
    <t xml:space="preserve">Monthly Subsription </t>
  </si>
  <si>
    <t xml:space="preserve">Advisory Fee </t>
  </si>
  <si>
    <t>FREE</t>
  </si>
  <si>
    <t>Advisory Fee</t>
  </si>
  <si>
    <t xml:space="preserve">Not specified </t>
  </si>
  <si>
    <t>Various</t>
  </si>
  <si>
    <t xml:space="preserve">Flat Fee per contract </t>
  </si>
  <si>
    <t>Per Trade</t>
  </si>
  <si>
    <t xml:space="preserve">Lowest tier cost </t>
  </si>
  <si>
    <t>Free</t>
  </si>
  <si>
    <t xml:space="preserve">Regulatory Fee based on volume </t>
  </si>
  <si>
    <t xml:space="preserve">Middle tier cost  </t>
  </si>
  <si>
    <t>-</t>
  </si>
  <si>
    <t xml:space="preserve">highest tier cost </t>
  </si>
  <si>
    <t>User Profile &amp; Target Segment</t>
  </si>
  <si>
    <t>Retail beginner</t>
  </si>
  <si>
    <t>Retail intermediate</t>
  </si>
  <si>
    <t>Advanced / active trader</t>
  </si>
  <si>
    <t>Professional / institutional</t>
  </si>
  <si>
    <t>Learning, Training &amp; Simulation</t>
  </si>
  <si>
    <t>Finance 101 - Entry level learning content</t>
  </si>
  <si>
    <t xml:space="preserve">Advanced Training (Puts, Shorting, other adv methods) </t>
  </si>
  <si>
    <t xml:space="preserve">Paper trading Simulator? </t>
  </si>
  <si>
    <t>Tutorials</t>
  </si>
  <si>
    <t>Quizzes</t>
  </si>
  <si>
    <t>Software Training - how to use platform features</t>
  </si>
  <si>
    <t>Guided trade features</t>
  </si>
  <si>
    <t>Asset Classes Supported</t>
  </si>
  <si>
    <t>**The data in the rows below were AI generated and need to be verified</t>
  </si>
  <si>
    <t>Stocks</t>
  </si>
  <si>
    <t>THIS ROW TEMPLATE ONLY</t>
  </si>
  <si>
    <t>ETFs</t>
  </si>
  <si>
    <t>Mutual funds</t>
  </si>
  <si>
    <t>Options</t>
  </si>
  <si>
    <t>Futures</t>
  </si>
  <si>
    <t>Forex</t>
  </si>
  <si>
    <t>Crypto</t>
  </si>
  <si>
    <t>Fixed income</t>
  </si>
  <si>
    <t>Alternatives (private equity, structured products)</t>
  </si>
  <si>
    <t>Account Types &amp; Brokerage Functionality</t>
  </si>
  <si>
    <t>Standard brokerage</t>
  </si>
  <si>
    <t>Retirement accounts (IRA, Roth)</t>
  </si>
  <si>
    <t>Margin accounts</t>
  </si>
  <si>
    <t>Custodial accounts</t>
  </si>
  <si>
    <t>Fractional shares</t>
  </si>
  <si>
    <t>Automated investing / robo-advisor</t>
  </si>
  <si>
    <t>Trading Tools</t>
  </si>
  <si>
    <t>Order types</t>
  </si>
  <si>
    <t>Advanced order routing</t>
  </si>
  <si>
    <t>Real-time data</t>
  </si>
  <si>
    <t>Options analytics</t>
  </si>
  <si>
    <t>Screeners and scanners</t>
  </si>
  <si>
    <t>Backtesting tools</t>
  </si>
  <si>
    <t>API access</t>
  </si>
  <si>
    <t>Research &amp; Analytics</t>
  </si>
  <si>
    <t>Charting</t>
  </si>
  <si>
    <t>Technical indicators</t>
  </si>
  <si>
    <t>Fundamental data</t>
  </si>
  <si>
    <t>Analyst ratings</t>
  </si>
  <si>
    <t>Portfolio Management Tools</t>
  </si>
  <si>
    <t>Performance tracking</t>
  </si>
  <si>
    <t>Asset allocation</t>
  </si>
  <si>
    <t>Risk metrics</t>
  </si>
  <si>
    <t>Tax optimization</t>
  </si>
  <si>
    <t>External account aggregation</t>
  </si>
  <si>
    <t>User Experience &amp; UI</t>
  </si>
  <si>
    <t>Mobile app</t>
  </si>
  <si>
    <t>Desktop platform</t>
  </si>
  <si>
    <t>Customizable dashboards</t>
  </si>
  <si>
    <t>UX simplicity</t>
  </si>
  <si>
    <t>Accessibility and onboarding</t>
  </si>
  <si>
    <t>I. Pricing &amp; Fees</t>
  </si>
  <si>
    <t>Commissions</t>
  </si>
  <si>
    <t>Options contract fees</t>
  </si>
  <si>
    <t>Margin rates</t>
  </si>
  <si>
    <t>Data subscription fees</t>
  </si>
  <si>
    <t>Premium tiers</t>
  </si>
  <si>
    <t>Community &amp; Social Features</t>
  </si>
  <si>
    <t>Chatrooms</t>
  </si>
  <si>
    <t>Copy trading</t>
  </si>
  <si>
    <t>Public portfolios</t>
  </si>
  <si>
    <t>Social feeds</t>
  </si>
  <si>
    <t>Creator tools</t>
  </si>
  <si>
    <t>Compliance, Security &amp; Reliability</t>
  </si>
  <si>
    <t>SIPC/FDIC protections</t>
  </si>
  <si>
    <t>Encryption/MFA</t>
  </si>
  <si>
    <t>Outage history</t>
  </si>
  <si>
    <t>Execution speed</t>
  </si>
  <si>
    <t>Integrations &amp; Ecosystem</t>
  </si>
  <si>
    <t>API availability</t>
  </si>
  <si>
    <t>Spreadsheet plugins</t>
  </si>
  <si>
    <t>Brokerage integrations</t>
  </si>
  <si>
    <t>Third-party tools</t>
  </si>
  <si>
    <t>Algo connectivity</t>
  </si>
  <si>
    <t>Artificial Intelligence &amp; Automation</t>
  </si>
  <si>
    <t>AI market insights</t>
  </si>
  <si>
    <t>Personalized recommendations</t>
  </si>
  <si>
    <t>AI chat tools</t>
  </si>
  <si>
    <t>Automated portfolio optimization</t>
  </si>
  <si>
    <t>Fraud/risk detection</t>
  </si>
  <si>
    <t>News &amp; Data Integration</t>
  </si>
  <si>
    <t>Real-time news</t>
  </si>
  <si>
    <t>Integrated media sources</t>
  </si>
  <si>
    <t>Sentiment analysis</t>
  </si>
  <si>
    <t>Event-driven alerts</t>
  </si>
  <si>
    <t>Customization &amp; filtering</t>
  </si>
  <si>
    <t>Average</t>
  </si>
  <si>
    <t>Entry level learning content</t>
  </si>
  <si>
    <t>Takeaways</t>
  </si>
  <si>
    <t>Advanced Training</t>
  </si>
  <si>
    <t xml:space="preserve">Even platforms with the highest cumulative score lack in some areas </t>
  </si>
  <si>
    <t>Paper trading Sim</t>
  </si>
  <si>
    <t xml:space="preserve">Guided Trading </t>
  </si>
  <si>
    <t>Software Training</t>
  </si>
  <si>
    <t>Total</t>
  </si>
  <si>
    <t>Last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</si>
</sst>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$&quot;#,##0"/>
    <numFmt numFmtId="166" formatCode="&quot;$&quot;#,##0.00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8"/>
      <color theme="1"/>
      <name val="Calibri"/>
    </font>
    <font>
      <sz val="11"/>
      <color rgb="FF000000"/>
      <name val="Calibri"/>
    </font>
    <font>
      <b/>
      <sz val="11"/>
      <color rgb="FFFF0000"/>
      <name val="Calibri"/>
      <scheme val="minor"/>
    </font>
    <font>
      <sz val="11"/>
      <color rgb="FFFF0000"/>
      <name val="Calibri"/>
    </font>
    <font>
      <sz val="11"/>
      <color rgb="FFFF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7F7F"/>
        <bgColor rgb="FFFF7F7F"/>
      </patternFill>
    </fill>
    <fill>
      <patternFill patternType="solid">
        <fgColor rgb="FFFBAA77"/>
        <bgColor rgb="FFFBAA77"/>
      </patternFill>
    </fill>
    <fill>
      <patternFill patternType="solid">
        <fgColor rgb="FFFFEB84"/>
        <bgColor rgb="FFFFEB84"/>
      </patternFill>
    </fill>
    <fill>
      <patternFill patternType="solid">
        <fgColor rgb="FFB1D580"/>
        <bgColor rgb="FFB1D580"/>
      </patternFill>
    </fill>
    <fill>
      <patternFill patternType="solid">
        <fgColor rgb="FF63BE7B"/>
        <bgColor rgb="FF63BE7B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90EE90"/>
        <bgColor rgb="FF90EE90"/>
      </patternFill>
    </fill>
    <fill>
      <patternFill patternType="solid">
        <fgColor rgb="FFFFFF99"/>
        <bgColor rgb="FFFFFF99"/>
      </patternFill>
    </fill>
    <fill>
      <patternFill patternType="solid">
        <fgColor rgb="FFFCBF7B"/>
        <bgColor rgb="FFFCBF7B"/>
      </patternFill>
    </fill>
    <fill>
      <patternFill patternType="solid">
        <fgColor rgb="FFF8696B"/>
        <bgColor rgb="FFF8696B"/>
      </patternFill>
    </fill>
    <fill>
      <patternFill patternType="solid">
        <fgColor rgb="FFCCCCCC"/>
        <bgColor rgb="FFCCCCCC"/>
      </patternFill>
    </fill>
    <fill>
      <patternFill patternType="solid">
        <fgColor rgb="FFFABF8F"/>
        <bgColor rgb="FFFABF8F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/>
    <xf numFmtId="0" fontId="1" fillId="6" borderId="1" xfId="0" applyFont="1" applyFill="1" applyBorder="1"/>
    <xf numFmtId="0" fontId="1" fillId="7" borderId="2" xfId="0" applyFont="1" applyFill="1" applyBorder="1"/>
    <xf numFmtId="0" fontId="1" fillId="2" borderId="1" xfId="0" applyFont="1" applyFill="1" applyBorder="1" applyAlignment="1">
      <alignment horizontal="left"/>
    </xf>
    <xf numFmtId="0" fontId="2" fillId="8" borderId="3" xfId="0" applyFont="1" applyFill="1" applyBorder="1" applyAlignment="1">
      <alignment horizontal="center" textRotation="45"/>
    </xf>
    <xf numFmtId="0" fontId="2" fillId="0" borderId="3" xfId="0" applyFont="1" applyBorder="1" applyAlignment="1">
      <alignment horizontal="center" textRotation="45"/>
    </xf>
    <xf numFmtId="164" fontId="4" fillId="0" borderId="0" xfId="0" applyNumberFormat="1" applyFont="1" applyAlignment="1">
      <alignment horizontal="left"/>
    </xf>
    <xf numFmtId="0" fontId="4" fillId="0" borderId="0" xfId="0" applyFont="1"/>
    <xf numFmtId="0" fontId="6" fillId="10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" fillId="9" borderId="5" xfId="0" applyFont="1" applyFill="1" applyBorder="1"/>
    <xf numFmtId="0" fontId="0" fillId="0" borderId="6" xfId="0" applyBorder="1"/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3" fillId="0" borderId="0" xfId="0" applyFont="1"/>
    <xf numFmtId="0" fontId="0" fillId="0" borderId="10" xfId="0" applyBorder="1"/>
    <xf numFmtId="0" fontId="6" fillId="10" borderId="11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0" fillId="14" borderId="15" xfId="0" applyFill="1" applyBorder="1"/>
    <xf numFmtId="0" fontId="0" fillId="14" borderId="16" xfId="0" applyFill="1" applyBorder="1"/>
    <xf numFmtId="0" fontId="4" fillId="14" borderId="16" xfId="0" applyFont="1" applyFill="1" applyBorder="1"/>
    <xf numFmtId="0" fontId="4" fillId="14" borderId="17" xfId="0" applyFont="1" applyFill="1" applyBorder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0" borderId="0" xfId="0"/>
    <xf numFmtId="0" fontId="1" fillId="9" borderId="19" xfId="0" applyFont="1" applyFill="1" applyBorder="1"/>
    <xf numFmtId="0" fontId="5" fillId="8" borderId="20" xfId="0" applyFont="1" applyFill="1" applyBorder="1" applyAlignment="1">
      <alignment horizontal="center" vertical="center" wrapText="1"/>
    </xf>
    <xf numFmtId="165" fontId="5" fillId="8" borderId="4" xfId="0" applyNumberFormat="1" applyFont="1" applyFill="1" applyBorder="1" applyAlignment="1">
      <alignment horizontal="center" vertical="center" wrapText="1"/>
    </xf>
    <xf numFmtId="166" fontId="5" fillId="8" borderId="4" xfId="0" applyNumberFormat="1" applyFont="1" applyFill="1" applyBorder="1" applyAlignment="1">
      <alignment horizontal="center" vertical="center" wrapText="1"/>
    </xf>
    <xf numFmtId="10" fontId="5" fillId="8" borderId="4" xfId="0" applyNumberFormat="1" applyFont="1" applyFill="1" applyBorder="1" applyAlignment="1">
      <alignment horizontal="center" vertical="center" wrapText="1"/>
    </xf>
    <xf numFmtId="165" fontId="5" fillId="8" borderId="25" xfId="0" applyNumberFormat="1" applyFont="1" applyFill="1" applyBorder="1" applyAlignment="1">
      <alignment horizontal="center" vertical="center" wrapText="1"/>
    </xf>
    <xf numFmtId="10" fontId="5" fillId="8" borderId="25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1" fillId="9" borderId="27" xfId="0" applyFont="1" applyFill="1" applyBorder="1"/>
    <xf numFmtId="0" fontId="2" fillId="8" borderId="28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left"/>
    </xf>
    <xf numFmtId="164" fontId="4" fillId="0" borderId="21" xfId="0" applyNumberFormat="1" applyFont="1" applyBorder="1" applyAlignment="1">
      <alignment horizontal="left"/>
    </xf>
    <xf numFmtId="164" fontId="4" fillId="0" borderId="23" xfId="0" applyNumberFormat="1" applyFont="1" applyBorder="1" applyAlignment="1">
      <alignment horizontal="left"/>
    </xf>
    <xf numFmtId="164" fontId="4" fillId="0" borderId="26" xfId="0" applyNumberFormat="1" applyFont="1" applyBorder="1" applyAlignment="1">
      <alignment horizontal="left"/>
    </xf>
    <xf numFmtId="164" fontId="4" fillId="0" borderId="29" xfId="0" applyNumberFormat="1" applyFont="1" applyBorder="1" applyAlignment="1">
      <alignment horizontal="left"/>
    </xf>
    <xf numFmtId="0" fontId="4" fillId="0" borderId="19" xfId="0" applyFont="1" applyBorder="1"/>
    <xf numFmtId="0" fontId="1" fillId="8" borderId="20" xfId="0" applyFont="1" applyFill="1" applyBorder="1" applyAlignment="1">
      <alignment horizontal="center" vertical="center"/>
    </xf>
    <xf numFmtId="0" fontId="4" fillId="0" borderId="22" xfId="0" applyFont="1" applyBorder="1"/>
    <xf numFmtId="0" fontId="1" fillId="8" borderId="4" xfId="0" applyFont="1" applyFill="1" applyBorder="1" applyAlignment="1">
      <alignment horizontal="center" vertical="center"/>
    </xf>
    <xf numFmtId="0" fontId="4" fillId="0" borderId="24" xfId="0" applyFont="1" applyBorder="1"/>
    <xf numFmtId="0" fontId="1" fillId="8" borderId="25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/>
    </xf>
    <xf numFmtId="0" fontId="6" fillId="11" borderId="20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64" fontId="2" fillId="3" borderId="28" xfId="0" applyNumberFormat="1" applyFont="1" applyFill="1" applyBorder="1" applyAlignment="1">
      <alignment horizontal="center" vertical="center"/>
    </xf>
    <xf numFmtId="164" fontId="2" fillId="3" borderId="28" xfId="0" applyNumberFormat="1" applyFont="1" applyFill="1" applyBorder="1" applyAlignment="1">
      <alignment vertical="center"/>
    </xf>
    <xf numFmtId="164" fontId="7" fillId="0" borderId="29" xfId="0" applyNumberFormat="1" applyFont="1" applyBorder="1" applyAlignment="1">
      <alignment horizontal="left"/>
    </xf>
    <xf numFmtId="0" fontId="8" fillId="10" borderId="20" xfId="0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164" fontId="9" fillId="0" borderId="21" xfId="0" applyNumberFormat="1" applyFont="1" applyBorder="1" applyAlignment="1">
      <alignment horizontal="left"/>
    </xf>
    <xf numFmtId="0" fontId="8" fillId="10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164" fontId="9" fillId="0" borderId="23" xfId="0" applyNumberFormat="1" applyFont="1" applyBorder="1" applyAlignment="1">
      <alignment horizontal="left"/>
    </xf>
    <xf numFmtId="0" fontId="8" fillId="3" borderId="4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0" fontId="8" fillId="11" borderId="25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164" fontId="9" fillId="0" borderId="26" xfId="0" applyNumberFormat="1" applyFont="1" applyBorder="1" applyAlignment="1">
      <alignment horizontal="left"/>
    </xf>
    <xf numFmtId="0" fontId="2" fillId="6" borderId="28" xfId="0" applyFont="1" applyFill="1" applyBorder="1" applyAlignment="1">
      <alignment horizontal="center"/>
    </xf>
    <xf numFmtId="0" fontId="2" fillId="12" borderId="28" xfId="0" applyFont="1" applyFill="1" applyBorder="1" applyAlignment="1">
      <alignment horizontal="center"/>
    </xf>
    <xf numFmtId="0" fontId="2" fillId="13" borderId="28" xfId="0" applyFont="1" applyFill="1" applyBorder="1" applyAlignment="1">
      <alignment horizontal="center"/>
    </xf>
    <xf numFmtId="0" fontId="2" fillId="7" borderId="28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8" fillId="14" borderId="20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25" xfId="0" applyFont="1" applyFill="1" applyBorder="1" applyAlignment="1">
      <alignment horizontal="center" vertical="center"/>
    </xf>
    <xf numFmtId="0" fontId="1" fillId="9" borderId="30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0" fontId="10" fillId="0" borderId="27" xfId="0" applyFont="1" applyBorder="1"/>
    <xf numFmtId="4" fontId="11" fillId="15" borderId="28" xfId="0" applyNumberFormat="1" applyFont="1" applyFill="1" applyBorder="1"/>
    <xf numFmtId="4" fontId="11" fillId="5" borderId="28" xfId="0" applyNumberFormat="1" applyFont="1" applyFill="1" applyBorder="1"/>
    <xf numFmtId="164" fontId="11" fillId="0" borderId="29" xfId="0" applyNumberFormat="1" applyFont="1" applyBorder="1" applyAlignment="1">
      <alignment horizontal="left"/>
    </xf>
    <xf numFmtId="164" fontId="3" fillId="0" borderId="31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164" fontId="4" fillId="0" borderId="31" xfId="0" applyNumberFormat="1" applyFont="1" applyBorder="1" applyAlignment="1">
      <alignment horizontal="center"/>
    </xf>
    <xf numFmtId="164" fontId="4" fillId="0" borderId="32" xfId="0" applyNumberFormat="1" applyFont="1" applyBorder="1" applyAlignment="1">
      <alignment horizontal="center"/>
    </xf>
    <xf numFmtId="164" fontId="4" fillId="0" borderId="33" xfId="0" applyNumberFormat="1" applyFont="1" applyBorder="1" applyAlignment="1">
      <alignment horizontal="center"/>
    </xf>
    <xf numFmtId="164" fontId="9" fillId="0" borderId="31" xfId="0" applyNumberFormat="1" applyFont="1" applyBorder="1" applyAlignment="1">
      <alignment horizontal="center"/>
    </xf>
    <xf numFmtId="164" fontId="9" fillId="0" borderId="32" xfId="0" applyNumberFormat="1" applyFont="1" applyBorder="1" applyAlignment="1">
      <alignment horizontal="center"/>
    </xf>
    <xf numFmtId="164" fontId="9" fillId="0" borderId="33" xfId="0" applyNumberFormat="1" applyFont="1" applyBorder="1" applyAlignment="1">
      <alignment horizontal="center"/>
    </xf>
    <xf numFmtId="164" fontId="11" fillId="0" borderId="18" xfId="0" applyNumberFormat="1" applyFont="1" applyBorder="1" applyAlignment="1">
      <alignment horizontal="center"/>
    </xf>
    <xf numFmtId="0" fontId="1" fillId="0" borderId="19" xfId="0" applyFont="1" applyFill="1" applyBorder="1"/>
    <xf numFmtId="0" fontId="1" fillId="0" borderId="22" xfId="0" applyFont="1" applyFill="1" applyBorder="1"/>
    <xf numFmtId="0" fontId="1" fillId="0" borderId="24" xfId="0" applyFont="1" applyFill="1" applyBorder="1"/>
    <xf numFmtId="14" fontId="0" fillId="0" borderId="0" xfId="0" applyNumberFormat="1"/>
    <xf numFmtId="14" fontId="1" fillId="2" borderId="4" xfId="0" applyNumberFormat="1" applyFont="1" applyFill="1" applyBorder="1"/>
    <xf numFmtId="14" fontId="12" fillId="0" borderId="3" xfId="0" applyNumberFormat="1" applyFont="1" applyBorder="1" applyAlignment="1">
      <alignment horizontal="center" textRotation="45"/>
    </xf>
    <xf numFmtId="14" fontId="3" fillId="0" borderId="21" xfId="0" applyNumberFormat="1" applyFont="1" applyBorder="1" applyAlignment="1">
      <alignment horizontal="center"/>
    </xf>
    <xf numFmtId="14" fontId="3" fillId="0" borderId="29" xfId="0" applyNumberFormat="1" applyFont="1" applyBorder="1" applyAlignment="1">
      <alignment horizontal="center"/>
    </xf>
    <xf numFmtId="14" fontId="9" fillId="0" borderId="21" xfId="0" applyNumberFormat="1" applyFont="1" applyBorder="1" applyAlignment="1">
      <alignment horizontal="center"/>
    </xf>
    <xf numFmtId="14" fontId="9" fillId="0" borderId="23" xfId="0" applyNumberFormat="1" applyFont="1" applyBorder="1" applyAlignment="1">
      <alignment horizontal="center"/>
    </xf>
    <xf numFmtId="14" fontId="9" fillId="0" borderId="26" xfId="0" applyNumberFormat="1" applyFont="1" applyBorder="1" applyAlignment="1">
      <alignment horizontal="center"/>
    </xf>
    <xf numFmtId="14" fontId="11" fillId="0" borderId="29" xfId="0" applyNumberFormat="1" applyFont="1" applyBorder="1" applyAlignment="1">
      <alignment horizontal="center"/>
    </xf>
    <xf numFmtId="164" fontId="3" fillId="0" borderId="22" xfId="0" applyNumberFormat="1" applyFont="1" applyBorder="1" applyAlignment="1">
      <alignment horizontal="center"/>
    </xf>
    <xf numFmtId="164" fontId="3" fillId="0" borderId="24" xfId="0" applyNumberFormat="1" applyFont="1" applyBorder="1" applyAlignment="1">
      <alignment horizontal="center"/>
    </xf>
    <xf numFmtId="14" fontId="3" fillId="0" borderId="31" xfId="0" applyNumberFormat="1" applyFont="1" applyBorder="1" applyAlignment="1">
      <alignment horizontal="center"/>
    </xf>
    <xf numFmtId="14" fontId="3" fillId="0" borderId="32" xfId="0" applyNumberFormat="1" applyFont="1" applyBorder="1" applyAlignment="1">
      <alignment horizontal="center"/>
    </xf>
    <xf numFmtId="14" fontId="3" fillId="0" borderId="3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Learning Radar</a:t>
            </a:r>
          </a:p>
        </c:rich>
      </c:tx>
      <c:layout>
        <c:manualLayout>
          <c:xMode val="edge"/>
          <c:yMode val="edge"/>
          <c:x val="2.3790322580645167E-2"/>
          <c:y val="1.1696306429548565E-2"/>
        </c:manualLayout>
      </c:layout>
      <c:overlay val="0"/>
    </c:title>
    <c:autoTitleDeleted val="0"/>
    <c:plotArea>
      <c:layout>
        <c:manualLayout>
          <c:xMode val="edge"/>
          <c:yMode val="edge"/>
          <c:x val="9.4086021505376347E-3"/>
          <c:y val="0.12790697674418605"/>
          <c:w val="0.81810035842293904"/>
          <c:h val="0.85240081974891857"/>
        </c:manualLayout>
      </c:layout>
      <c:radarChart>
        <c:radarStyle val="marker"/>
        <c:varyColors val="1"/>
        <c:ser>
          <c:idx val="0"/>
          <c:order val="0"/>
          <c:tx>
            <c:strRef>
              <c:f>'Learning Dashboard'!$B$1</c:f>
              <c:strCache>
                <c:ptCount val="1"/>
                <c:pt idx="0">
                  <c:v>Bloomberg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'Learning Dashboard'!$A$2:$A$8</c:f>
              <c:strCache>
                <c:ptCount val="7"/>
                <c:pt idx="0">
                  <c:v>Entry level learning content</c:v>
                </c:pt>
                <c:pt idx="1">
                  <c:v>Advanced Training</c:v>
                </c:pt>
                <c:pt idx="2">
                  <c:v>Paper trading Sim</c:v>
                </c:pt>
                <c:pt idx="3">
                  <c:v>Tutorials</c:v>
                </c:pt>
                <c:pt idx="4">
                  <c:v>Quizzes</c:v>
                </c:pt>
                <c:pt idx="5">
                  <c:v>Software Training</c:v>
                </c:pt>
                <c:pt idx="6">
                  <c:v>Guided trade features</c:v>
                </c:pt>
              </c:strCache>
            </c:strRef>
          </c:cat>
          <c:val>
            <c:numRef>
              <c:f>'Learning Dashboard'!$B$2:$B$8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1-483E-8F77-A3ADE80746C0}"/>
            </c:ext>
          </c:extLst>
        </c:ser>
        <c:ser>
          <c:idx val="1"/>
          <c:order val="1"/>
          <c:tx>
            <c:strRef>
              <c:f>'Learning Dashboard'!$C$1</c:f>
              <c:strCache>
                <c:ptCount val="1"/>
                <c:pt idx="0">
                  <c:v>Robinhood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'Learning Dashboard'!$A$2:$A$8</c:f>
              <c:strCache>
                <c:ptCount val="7"/>
                <c:pt idx="0">
                  <c:v>Entry level learning content</c:v>
                </c:pt>
                <c:pt idx="1">
                  <c:v>Advanced Training</c:v>
                </c:pt>
                <c:pt idx="2">
                  <c:v>Paper trading Sim</c:v>
                </c:pt>
                <c:pt idx="3">
                  <c:v>Tutorials</c:v>
                </c:pt>
                <c:pt idx="4">
                  <c:v>Quizzes</c:v>
                </c:pt>
                <c:pt idx="5">
                  <c:v>Software Training</c:v>
                </c:pt>
                <c:pt idx="6">
                  <c:v>Guided trade features</c:v>
                </c:pt>
              </c:strCache>
            </c:strRef>
          </c:cat>
          <c:val>
            <c:numRef>
              <c:f>'Learning Dashboard'!$C$2:$C$8</c:f>
              <c:numCache>
                <c:formatCode>General</c:formatCode>
                <c:ptCount val="7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1-483E-8F77-A3ADE80746C0}"/>
            </c:ext>
          </c:extLst>
        </c:ser>
        <c:ser>
          <c:idx val="2"/>
          <c:order val="2"/>
          <c:tx>
            <c:strRef>
              <c:f>'Learning Dashboard'!$D$1</c:f>
              <c:strCache>
                <c:ptCount val="1"/>
                <c:pt idx="0">
                  <c:v>Fidelity</c:v>
                </c:pt>
              </c:strCache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'Learning Dashboard'!$A$2:$A$8</c:f>
              <c:strCache>
                <c:ptCount val="7"/>
                <c:pt idx="0">
                  <c:v>Entry level learning content</c:v>
                </c:pt>
                <c:pt idx="1">
                  <c:v>Advanced Training</c:v>
                </c:pt>
                <c:pt idx="2">
                  <c:v>Paper trading Sim</c:v>
                </c:pt>
                <c:pt idx="3">
                  <c:v>Tutorials</c:v>
                </c:pt>
                <c:pt idx="4">
                  <c:v>Quizzes</c:v>
                </c:pt>
                <c:pt idx="5">
                  <c:v>Software Training</c:v>
                </c:pt>
                <c:pt idx="6">
                  <c:v>Guided trade features</c:v>
                </c:pt>
              </c:strCache>
            </c:strRef>
          </c:cat>
          <c:val>
            <c:numRef>
              <c:f>'Learning Dashboard'!$D$2:$D$8</c:f>
              <c:numCache>
                <c:formatCode>General</c:formatCode>
                <c:ptCount val="7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1-483E-8F77-A3ADE80746C0}"/>
            </c:ext>
          </c:extLst>
        </c:ser>
        <c:ser>
          <c:idx val="3"/>
          <c:order val="3"/>
          <c:tx>
            <c:strRef>
              <c:f>'Learning Dashboard'!$E$1</c:f>
              <c:strCache>
                <c:ptCount val="1"/>
                <c:pt idx="0">
                  <c:v>Investopedia Sim</c:v>
                </c:pt>
              </c:strCache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'Learning Dashboard'!$A$2:$A$8</c:f>
              <c:strCache>
                <c:ptCount val="7"/>
                <c:pt idx="0">
                  <c:v>Entry level learning content</c:v>
                </c:pt>
                <c:pt idx="1">
                  <c:v>Advanced Training</c:v>
                </c:pt>
                <c:pt idx="2">
                  <c:v>Paper trading Sim</c:v>
                </c:pt>
                <c:pt idx="3">
                  <c:v>Tutorials</c:v>
                </c:pt>
                <c:pt idx="4">
                  <c:v>Quizzes</c:v>
                </c:pt>
                <c:pt idx="5">
                  <c:v>Software Training</c:v>
                </c:pt>
                <c:pt idx="6">
                  <c:v>Guided trade features</c:v>
                </c:pt>
              </c:strCache>
            </c:strRef>
          </c:cat>
          <c:val>
            <c:numRef>
              <c:f>'Learning Dashboard'!$E$2:$E$8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1-483E-8F77-A3ADE80746C0}"/>
            </c:ext>
          </c:extLst>
        </c:ser>
        <c:ser>
          <c:idx val="4"/>
          <c:order val="4"/>
          <c:tx>
            <c:strRef>
              <c:f>'Learning Dashboard'!$F$1</c:f>
              <c:strCache>
                <c:ptCount val="1"/>
                <c:pt idx="0">
                  <c:v>TradingView</c:v>
                </c:pt>
              </c:strCache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'Learning Dashboard'!$A$2:$A$8</c:f>
              <c:strCache>
                <c:ptCount val="7"/>
                <c:pt idx="0">
                  <c:v>Entry level learning content</c:v>
                </c:pt>
                <c:pt idx="1">
                  <c:v>Advanced Training</c:v>
                </c:pt>
                <c:pt idx="2">
                  <c:v>Paper trading Sim</c:v>
                </c:pt>
                <c:pt idx="3">
                  <c:v>Tutorials</c:v>
                </c:pt>
                <c:pt idx="4">
                  <c:v>Quizzes</c:v>
                </c:pt>
                <c:pt idx="5">
                  <c:v>Software Training</c:v>
                </c:pt>
                <c:pt idx="6">
                  <c:v>Guided trade features</c:v>
                </c:pt>
              </c:strCache>
            </c:strRef>
          </c:cat>
          <c:val>
            <c:numRef>
              <c:f>'Learning Dashboard'!$F$2:$F$8</c:f>
            </c:numRef>
          </c:val>
          <c:extLst>
            <c:ext xmlns:c16="http://schemas.microsoft.com/office/drawing/2014/chart" uri="{C3380CC4-5D6E-409C-BE32-E72D297353CC}">
              <c16:uniqueId val="{00000004-A9F1-483E-8F77-A3ADE80746C0}"/>
            </c:ext>
          </c:extLst>
        </c:ser>
        <c:ser>
          <c:idx val="5"/>
          <c:order val="5"/>
          <c:tx>
            <c:strRef>
              <c:f>'Learning Dashboard'!$G$1</c:f>
              <c:strCache>
                <c:ptCount val="1"/>
                <c:pt idx="0">
                  <c:v>Ally Invest</c:v>
                </c:pt>
              </c:strCache>
            </c:strRef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'Learning Dashboard'!$A$2:$A$8</c:f>
              <c:strCache>
                <c:ptCount val="7"/>
                <c:pt idx="0">
                  <c:v>Entry level learning content</c:v>
                </c:pt>
                <c:pt idx="1">
                  <c:v>Advanced Training</c:v>
                </c:pt>
                <c:pt idx="2">
                  <c:v>Paper trading Sim</c:v>
                </c:pt>
                <c:pt idx="3">
                  <c:v>Tutorials</c:v>
                </c:pt>
                <c:pt idx="4">
                  <c:v>Quizzes</c:v>
                </c:pt>
                <c:pt idx="5">
                  <c:v>Software Training</c:v>
                </c:pt>
                <c:pt idx="6">
                  <c:v>Guided trade features</c:v>
                </c:pt>
              </c:strCache>
            </c:strRef>
          </c:cat>
          <c:val>
            <c:numRef>
              <c:f>'Learning Dashboard'!$G$2:$G$8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F1-483E-8F77-A3ADE80746C0}"/>
            </c:ext>
          </c:extLst>
        </c:ser>
        <c:ser>
          <c:idx val="6"/>
          <c:order val="6"/>
          <c:tx>
            <c:strRef>
              <c:f>'Learning Dashboard'!$H$1</c:f>
              <c:strCache>
                <c:ptCount val="1"/>
                <c:pt idx="0">
                  <c:v>Empower</c:v>
                </c:pt>
              </c:strCache>
            </c:strRef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'Learning Dashboard'!$A$2:$A$8</c:f>
              <c:strCache>
                <c:ptCount val="7"/>
                <c:pt idx="0">
                  <c:v>Entry level learning content</c:v>
                </c:pt>
                <c:pt idx="1">
                  <c:v>Advanced Training</c:v>
                </c:pt>
                <c:pt idx="2">
                  <c:v>Paper trading Sim</c:v>
                </c:pt>
                <c:pt idx="3">
                  <c:v>Tutorials</c:v>
                </c:pt>
                <c:pt idx="4">
                  <c:v>Quizzes</c:v>
                </c:pt>
                <c:pt idx="5">
                  <c:v>Software Training</c:v>
                </c:pt>
                <c:pt idx="6">
                  <c:v>Guided trade features</c:v>
                </c:pt>
              </c:strCache>
            </c:strRef>
          </c:cat>
          <c:val>
            <c:numRef>
              <c:f>'Learning Dashboard'!$H$2:$H$8</c:f>
            </c:numRef>
          </c:val>
          <c:extLst>
            <c:ext xmlns:c16="http://schemas.microsoft.com/office/drawing/2014/chart" uri="{C3380CC4-5D6E-409C-BE32-E72D297353CC}">
              <c16:uniqueId val="{00000006-A9F1-483E-8F77-A3ADE80746C0}"/>
            </c:ext>
          </c:extLst>
        </c:ser>
        <c:ser>
          <c:idx val="7"/>
          <c:order val="7"/>
          <c:tx>
            <c:strRef>
              <c:f>'Learning Dashboard'!$I$1</c:f>
              <c:strCache>
                <c:ptCount val="1"/>
                <c:pt idx="0">
                  <c:v>Charles Schwab</c:v>
                </c:pt>
              </c:strCache>
            </c:strRef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'Learning Dashboard'!$A$2:$A$8</c:f>
              <c:strCache>
                <c:ptCount val="7"/>
                <c:pt idx="0">
                  <c:v>Entry level learning content</c:v>
                </c:pt>
                <c:pt idx="1">
                  <c:v>Advanced Training</c:v>
                </c:pt>
                <c:pt idx="2">
                  <c:v>Paper trading Sim</c:v>
                </c:pt>
                <c:pt idx="3">
                  <c:v>Tutorials</c:v>
                </c:pt>
                <c:pt idx="4">
                  <c:v>Quizzes</c:v>
                </c:pt>
                <c:pt idx="5">
                  <c:v>Software Training</c:v>
                </c:pt>
                <c:pt idx="6">
                  <c:v>Guided trade features</c:v>
                </c:pt>
              </c:strCache>
            </c:strRef>
          </c:cat>
          <c:val>
            <c:numRef>
              <c:f>'Learning Dashboard'!$I$2:$I$8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F1-483E-8F77-A3ADE80746C0}"/>
            </c:ext>
          </c:extLst>
        </c:ser>
        <c:ser>
          <c:idx val="8"/>
          <c:order val="8"/>
          <c:tx>
            <c:strRef>
              <c:f>'Learning Dashboard'!$J$1</c:f>
              <c:strCache>
                <c:ptCount val="1"/>
                <c:pt idx="0">
                  <c:v>TD Bank</c:v>
                </c:pt>
              </c:strCache>
            </c:strRef>
          </c:tx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'Learning Dashboard'!$A$2:$A$8</c:f>
              <c:strCache>
                <c:ptCount val="7"/>
                <c:pt idx="0">
                  <c:v>Entry level learning content</c:v>
                </c:pt>
                <c:pt idx="1">
                  <c:v>Advanced Training</c:v>
                </c:pt>
                <c:pt idx="2">
                  <c:v>Paper trading Sim</c:v>
                </c:pt>
                <c:pt idx="3">
                  <c:v>Tutorials</c:v>
                </c:pt>
                <c:pt idx="4">
                  <c:v>Quizzes</c:v>
                </c:pt>
                <c:pt idx="5">
                  <c:v>Software Training</c:v>
                </c:pt>
                <c:pt idx="6">
                  <c:v>Guided trade features</c:v>
                </c:pt>
              </c:strCache>
            </c:strRef>
          </c:cat>
          <c:val>
            <c:numRef>
              <c:f>'Learning Dashboard'!$J$2:$J$8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F1-483E-8F77-A3ADE80746C0}"/>
            </c:ext>
          </c:extLst>
        </c:ser>
        <c:ser>
          <c:idx val="9"/>
          <c:order val="9"/>
          <c:tx>
            <c:strRef>
              <c:f>'Learning Dashboard'!$K$1</c:f>
              <c:strCache>
                <c:ptCount val="1"/>
                <c:pt idx="0">
                  <c:v>T. Rowe Price</c:v>
                </c:pt>
              </c:strCache>
            </c:strRef>
          </c:tx>
          <c:spPr>
            <a:ln cmpd="sng">
              <a:solidFill>
                <a:srgbClr val="A693BE"/>
              </a:solidFill>
            </a:ln>
          </c:spPr>
          <c:marker>
            <c:symbol val="none"/>
          </c:marker>
          <c:cat>
            <c:strRef>
              <c:f>'Learning Dashboard'!$A$2:$A$8</c:f>
              <c:strCache>
                <c:ptCount val="7"/>
                <c:pt idx="0">
                  <c:v>Entry level learning content</c:v>
                </c:pt>
                <c:pt idx="1">
                  <c:v>Advanced Training</c:v>
                </c:pt>
                <c:pt idx="2">
                  <c:v>Paper trading Sim</c:v>
                </c:pt>
                <c:pt idx="3">
                  <c:v>Tutorials</c:v>
                </c:pt>
                <c:pt idx="4">
                  <c:v>Quizzes</c:v>
                </c:pt>
                <c:pt idx="5">
                  <c:v>Software Training</c:v>
                </c:pt>
                <c:pt idx="6">
                  <c:v>Guided trade features</c:v>
                </c:pt>
              </c:strCache>
            </c:strRef>
          </c:cat>
          <c:val>
            <c:numRef>
              <c:f>'Learning Dashboard'!$K$2:$K$8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F1-483E-8F77-A3ADE8074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87176"/>
        <c:axId val="378620752"/>
      </c:radarChart>
      <c:catAx>
        <c:axId val="107987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8620752"/>
        <c:crosses val="autoZero"/>
        <c:auto val="1"/>
        <c:lblAlgn val="ctr"/>
        <c:lblOffset val="100"/>
        <c:noMultiLvlLbl val="1"/>
      </c:catAx>
      <c:valAx>
        <c:axId val="378620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987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51579450418168"/>
          <c:y val="0.1976033659396323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11</xdr:row>
      <xdr:rowOff>161925</xdr:rowOff>
    </xdr:from>
    <xdr:ext cx="10629900" cy="6962775"/>
    <xdr:graphicFrame macro="">
      <xdr:nvGraphicFramePr>
        <xdr:cNvPr id="556615215" name="Chart 1" title="Chart">
          <a:extLst>
            <a:ext uri="{FF2B5EF4-FFF2-40B4-BE49-F238E27FC236}">
              <a16:creationId xmlns:a16="http://schemas.microsoft.com/office/drawing/2014/main" id="{00000000-0008-0000-0100-00002F462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4.40625" defaultRowHeight="15" customHeight="1" x14ac:dyDescent="0.75"/>
  <cols>
    <col min="1" max="1" width="54.54296875" customWidth="1"/>
    <col min="2" max="13" width="8.40625" customWidth="1"/>
    <col min="14" max="14" width="14.26953125" customWidth="1"/>
    <col min="15" max="15" width="14.26953125" style="119" customWidth="1"/>
    <col min="16" max="16" width="61.90625" bestFit="1" customWidth="1"/>
    <col min="17" max="19" width="14.26953125" customWidth="1"/>
    <col min="20" max="25" width="8.6796875" customWidth="1"/>
  </cols>
  <sheetData>
    <row r="1" spans="1:20" ht="14.25" customHeight="1" x14ac:dyDescent="0.75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1"/>
      <c r="I1" s="1"/>
      <c r="J1" s="1"/>
      <c r="K1" s="1"/>
      <c r="L1" s="1"/>
      <c r="T1" s="1"/>
    </row>
    <row r="2" spans="1:20" ht="14.25" customHeight="1" x14ac:dyDescent="0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20"/>
      <c r="P2" s="8"/>
      <c r="Q2" s="1"/>
      <c r="R2" s="1"/>
      <c r="S2" s="1"/>
      <c r="T2" s="1"/>
    </row>
    <row r="3" spans="1:20" ht="73.75" customHeight="1" thickBot="1" x14ac:dyDescent="0.9">
      <c r="A3" s="53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9" t="s">
        <v>15</v>
      </c>
      <c r="K3" s="9" t="s">
        <v>16</v>
      </c>
      <c r="L3" s="10" t="s">
        <v>17</v>
      </c>
      <c r="M3" s="10" t="s">
        <v>18</v>
      </c>
      <c r="N3" s="10" t="s">
        <v>19</v>
      </c>
      <c r="O3" s="121" t="s">
        <v>139</v>
      </c>
      <c r="P3" s="10" t="s">
        <v>20</v>
      </c>
      <c r="Q3" s="1"/>
      <c r="R3" s="1"/>
      <c r="S3" s="1"/>
      <c r="T3" s="1"/>
    </row>
    <row r="4" spans="1:20" ht="14.25" customHeight="1" thickBot="1" x14ac:dyDescent="0.9">
      <c r="A4" s="46" t="s">
        <v>21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102"/>
      <c r="O4" s="130"/>
      <c r="P4" s="57"/>
      <c r="Q4" s="11"/>
      <c r="R4" s="11"/>
      <c r="S4" s="11"/>
      <c r="T4" s="11"/>
    </row>
    <row r="5" spans="1:20" ht="22" x14ac:dyDescent="0.75">
      <c r="A5" s="116" t="s">
        <v>23</v>
      </c>
      <c r="B5" s="47" t="s">
        <v>24</v>
      </c>
      <c r="C5" s="47" t="s">
        <v>24</v>
      </c>
      <c r="D5" s="47" t="s">
        <v>25</v>
      </c>
      <c r="E5" s="47" t="s">
        <v>26</v>
      </c>
      <c r="F5" s="47" t="s">
        <v>24</v>
      </c>
      <c r="G5" s="47" t="s">
        <v>27</v>
      </c>
      <c r="H5" s="47" t="s">
        <v>28</v>
      </c>
      <c r="I5" s="47" t="s">
        <v>29</v>
      </c>
      <c r="J5" s="47" t="s">
        <v>30</v>
      </c>
      <c r="K5" s="47" t="s">
        <v>25</v>
      </c>
      <c r="L5" s="47" t="s">
        <v>31</v>
      </c>
      <c r="M5" s="47" t="s">
        <v>29</v>
      </c>
      <c r="N5" s="102"/>
      <c r="O5" s="131">
        <v>45996</v>
      </c>
      <c r="P5" s="58"/>
      <c r="Q5" s="11"/>
      <c r="R5" s="11"/>
      <c r="S5" s="11"/>
      <c r="T5" s="11"/>
    </row>
    <row r="6" spans="1:20" ht="33" x14ac:dyDescent="0.75">
      <c r="A6" s="117" t="s">
        <v>32</v>
      </c>
      <c r="B6" s="48">
        <v>2020</v>
      </c>
      <c r="C6" s="48">
        <v>0</v>
      </c>
      <c r="D6" s="49" t="s">
        <v>33</v>
      </c>
      <c r="E6" s="48"/>
      <c r="F6" s="48">
        <v>12.95</v>
      </c>
      <c r="G6" s="50">
        <v>0</v>
      </c>
      <c r="H6" s="48">
        <v>0</v>
      </c>
      <c r="I6" s="48">
        <v>0</v>
      </c>
      <c r="J6" s="48">
        <v>9.99</v>
      </c>
      <c r="K6" s="48" t="s">
        <v>29</v>
      </c>
      <c r="L6" s="48">
        <v>0</v>
      </c>
      <c r="M6" s="48" t="s">
        <v>34</v>
      </c>
      <c r="N6" s="128"/>
      <c r="O6" s="131">
        <v>45996</v>
      </c>
      <c r="P6" s="59"/>
      <c r="Q6" s="11"/>
      <c r="R6" s="11"/>
      <c r="S6" s="11"/>
      <c r="T6" s="11"/>
    </row>
    <row r="7" spans="1:20" ht="14.75" x14ac:dyDescent="0.75">
      <c r="A7" s="117" t="s">
        <v>35</v>
      </c>
      <c r="B7" s="48" t="s">
        <v>36</v>
      </c>
      <c r="C7" s="48" t="s">
        <v>36</v>
      </c>
      <c r="D7" s="50">
        <v>3.5000000000000001E-3</v>
      </c>
      <c r="E7" s="48"/>
      <c r="F7" s="48">
        <v>56.49</v>
      </c>
      <c r="G7" s="50">
        <v>3.0000000000000001E-3</v>
      </c>
      <c r="H7" s="48"/>
      <c r="I7" s="48" t="s">
        <v>29</v>
      </c>
      <c r="J7" s="48"/>
      <c r="K7" s="48" t="s">
        <v>29</v>
      </c>
      <c r="L7" s="48"/>
      <c r="M7" s="48" t="s">
        <v>36</v>
      </c>
      <c r="N7" s="128"/>
      <c r="O7" s="131">
        <v>46016</v>
      </c>
      <c r="P7" s="59"/>
      <c r="Q7" s="11"/>
      <c r="R7" s="11"/>
      <c r="S7" s="11"/>
      <c r="T7" s="11"/>
    </row>
    <row r="8" spans="1:20" ht="15.5" thickBot="1" x14ac:dyDescent="0.9">
      <c r="A8" s="118" t="s">
        <v>37</v>
      </c>
      <c r="B8" s="51">
        <f>32000/12</f>
        <v>2666.6666666666665</v>
      </c>
      <c r="C8" s="51">
        <v>5</v>
      </c>
      <c r="D8" s="52">
        <v>1.4999999999999999E-2</v>
      </c>
      <c r="E8" s="51"/>
      <c r="F8" s="51">
        <v>199</v>
      </c>
      <c r="G8" s="52">
        <v>8.5000000000000006E-3</v>
      </c>
      <c r="H8" s="51"/>
      <c r="I8" s="51">
        <v>30</v>
      </c>
      <c r="J8" s="51">
        <v>7</v>
      </c>
      <c r="K8" s="51" t="s">
        <v>29</v>
      </c>
      <c r="L8" s="51">
        <v>25</v>
      </c>
      <c r="M8" s="51">
        <v>3.99</v>
      </c>
      <c r="N8" s="129"/>
      <c r="O8" s="132">
        <v>46016</v>
      </c>
      <c r="P8" s="60"/>
      <c r="Q8" s="11"/>
      <c r="R8" s="11"/>
      <c r="S8" s="11"/>
      <c r="T8" s="11"/>
    </row>
    <row r="9" spans="1:20" ht="14.25" customHeight="1" thickBot="1" x14ac:dyDescent="0.9">
      <c r="A9" s="54" t="s">
        <v>38</v>
      </c>
      <c r="B9" s="55">
        <f t="shared" ref="B9:M9" si="0">SUM(B10:B13)</f>
        <v>2.5</v>
      </c>
      <c r="C9" s="55">
        <f t="shared" si="0"/>
        <v>3.75</v>
      </c>
      <c r="D9" s="55">
        <f t="shared" si="0"/>
        <v>3.75</v>
      </c>
      <c r="E9" s="55">
        <f t="shared" si="0"/>
        <v>2.5</v>
      </c>
      <c r="F9" s="55">
        <f t="shared" si="0"/>
        <v>3.75</v>
      </c>
      <c r="G9" s="55">
        <f t="shared" si="0"/>
        <v>3.75</v>
      </c>
      <c r="H9" s="55">
        <f t="shared" si="0"/>
        <v>2.5</v>
      </c>
      <c r="I9" s="55">
        <f t="shared" si="0"/>
        <v>3.75</v>
      </c>
      <c r="J9" s="55">
        <f t="shared" si="0"/>
        <v>3.75</v>
      </c>
      <c r="K9" s="55">
        <f t="shared" si="0"/>
        <v>2.5</v>
      </c>
      <c r="L9" s="55">
        <f t="shared" si="0"/>
        <v>2.5</v>
      </c>
      <c r="M9" s="55">
        <f t="shared" si="0"/>
        <v>3.75</v>
      </c>
      <c r="N9" s="108"/>
      <c r="O9" s="123"/>
      <c r="P9" s="61" t="s">
        <v>22</v>
      </c>
      <c r="Q9" s="11"/>
      <c r="R9" s="11"/>
      <c r="S9" s="11"/>
      <c r="T9" s="11"/>
    </row>
    <row r="10" spans="1:20" ht="14.25" customHeight="1" x14ac:dyDescent="0.75">
      <c r="A10" s="62" t="s">
        <v>39</v>
      </c>
      <c r="B10" s="63" t="s">
        <v>36</v>
      </c>
      <c r="C10" s="63">
        <v>1.25</v>
      </c>
      <c r="D10" s="63">
        <v>1.25</v>
      </c>
      <c r="E10" s="63">
        <v>1.25</v>
      </c>
      <c r="F10" s="63">
        <v>1.25</v>
      </c>
      <c r="G10" s="63">
        <v>1.25</v>
      </c>
      <c r="H10" s="63">
        <v>1.25</v>
      </c>
      <c r="I10" s="63">
        <v>1.25</v>
      </c>
      <c r="J10" s="63">
        <v>1.25</v>
      </c>
      <c r="K10" s="63">
        <v>1.25</v>
      </c>
      <c r="L10" s="63">
        <v>1.25</v>
      </c>
      <c r="M10" s="63">
        <v>1.25</v>
      </c>
      <c r="N10" s="109"/>
      <c r="O10" s="131">
        <v>45996</v>
      </c>
      <c r="P10" s="58"/>
      <c r="Q10" s="11"/>
      <c r="R10" s="11"/>
      <c r="S10" s="11"/>
      <c r="T10" s="11"/>
    </row>
    <row r="11" spans="1:20" ht="14.25" customHeight="1" x14ac:dyDescent="0.75">
      <c r="A11" s="64" t="s">
        <v>40</v>
      </c>
      <c r="B11" s="65" t="s">
        <v>36</v>
      </c>
      <c r="C11" s="65">
        <v>1.25</v>
      </c>
      <c r="D11" s="65">
        <v>1.25</v>
      </c>
      <c r="E11" s="65">
        <v>1.25</v>
      </c>
      <c r="F11" s="65">
        <v>1.25</v>
      </c>
      <c r="G11" s="65">
        <v>1.25</v>
      </c>
      <c r="H11" s="65">
        <v>1.25</v>
      </c>
      <c r="I11" s="65">
        <v>1.25</v>
      </c>
      <c r="J11" s="65">
        <v>1.25</v>
      </c>
      <c r="K11" s="65">
        <v>1.25</v>
      </c>
      <c r="L11" s="65">
        <v>1.25</v>
      </c>
      <c r="M11" s="65">
        <v>1.25</v>
      </c>
      <c r="N11" s="110"/>
      <c r="O11" s="131">
        <v>45996</v>
      </c>
      <c r="P11" s="59"/>
      <c r="Q11" s="11"/>
      <c r="R11" s="11"/>
      <c r="S11" s="11"/>
      <c r="T11" s="11"/>
    </row>
    <row r="12" spans="1:20" ht="14.25" customHeight="1" x14ac:dyDescent="0.75">
      <c r="A12" s="64" t="s">
        <v>41</v>
      </c>
      <c r="B12" s="65">
        <v>1.25</v>
      </c>
      <c r="C12" s="65">
        <v>1.25</v>
      </c>
      <c r="D12" s="65">
        <v>1.25</v>
      </c>
      <c r="E12" s="65" t="s">
        <v>36</v>
      </c>
      <c r="F12" s="65">
        <v>1.25</v>
      </c>
      <c r="G12" s="65">
        <v>1.25</v>
      </c>
      <c r="H12" s="65"/>
      <c r="I12" s="65">
        <v>1.25</v>
      </c>
      <c r="J12" s="65">
        <v>1.25</v>
      </c>
      <c r="K12" s="65"/>
      <c r="L12" s="65"/>
      <c r="M12" s="65">
        <v>1.25</v>
      </c>
      <c r="N12" s="110"/>
      <c r="O12" s="131">
        <v>45996</v>
      </c>
      <c r="P12" s="59"/>
      <c r="Q12" s="11"/>
      <c r="R12" s="11"/>
      <c r="S12" s="11"/>
      <c r="T12" s="11"/>
    </row>
    <row r="13" spans="1:20" ht="14.25" customHeight="1" thickBot="1" x14ac:dyDescent="0.9">
      <c r="A13" s="66" t="s">
        <v>42</v>
      </c>
      <c r="B13" s="67">
        <v>1.25</v>
      </c>
      <c r="C13" s="67" t="s">
        <v>36</v>
      </c>
      <c r="D13" s="67" t="s">
        <v>36</v>
      </c>
      <c r="E13" s="67" t="s">
        <v>36</v>
      </c>
      <c r="F13" s="67" t="s">
        <v>36</v>
      </c>
      <c r="G13" s="67"/>
      <c r="H13" s="67"/>
      <c r="I13" s="67"/>
      <c r="J13" s="67"/>
      <c r="K13" s="67"/>
      <c r="L13" s="67"/>
      <c r="M13" s="67"/>
      <c r="N13" s="111"/>
      <c r="O13" s="131">
        <v>45996</v>
      </c>
      <c r="P13" s="60"/>
      <c r="Q13" s="11"/>
      <c r="R13" s="11"/>
      <c r="S13" s="11"/>
      <c r="T13" s="11"/>
    </row>
    <row r="14" spans="1:20" ht="14.25" customHeight="1" thickBot="1" x14ac:dyDescent="0.9">
      <c r="A14" s="54" t="s">
        <v>43</v>
      </c>
      <c r="B14" s="68">
        <f t="shared" ref="B14:M14" si="1">AVERAGE(B17:B21)</f>
        <v>4</v>
      </c>
      <c r="C14" s="68">
        <f t="shared" si="1"/>
        <v>2.8</v>
      </c>
      <c r="D14" s="68">
        <f t="shared" si="1"/>
        <v>3.2</v>
      </c>
      <c r="E14" s="68">
        <f t="shared" si="1"/>
        <v>3.2</v>
      </c>
      <c r="F14" s="68">
        <f t="shared" si="1"/>
        <v>2.4</v>
      </c>
      <c r="G14" s="68">
        <f t="shared" si="1"/>
        <v>3.2</v>
      </c>
      <c r="H14" s="68">
        <f t="shared" si="1"/>
        <v>2.6</v>
      </c>
      <c r="I14" s="68">
        <f t="shared" si="1"/>
        <v>3.8</v>
      </c>
      <c r="J14" s="68">
        <f t="shared" si="1"/>
        <v>2.6</v>
      </c>
      <c r="K14" s="68">
        <f t="shared" si="1"/>
        <v>2.4</v>
      </c>
      <c r="L14" s="68">
        <f t="shared" si="1"/>
        <v>2.8</v>
      </c>
      <c r="M14" s="68">
        <f t="shared" si="1"/>
        <v>2.4</v>
      </c>
      <c r="N14" s="108">
        <f t="shared" ref="N14:N99" si="2">AVERAGE(B14:M14)</f>
        <v>2.9499999999999997</v>
      </c>
      <c r="O14" s="123"/>
      <c r="P14" s="61"/>
      <c r="Q14" s="11"/>
      <c r="R14" s="11"/>
      <c r="S14" s="11"/>
      <c r="T14" s="11"/>
    </row>
    <row r="15" spans="1:20" ht="14.25" customHeight="1" x14ac:dyDescent="0.75">
      <c r="A15" s="62" t="s">
        <v>44</v>
      </c>
      <c r="B15" s="69">
        <v>1</v>
      </c>
      <c r="C15" s="69">
        <v>5</v>
      </c>
      <c r="D15" s="70">
        <v>5</v>
      </c>
      <c r="E15" s="69">
        <v>5</v>
      </c>
      <c r="F15" s="69">
        <v>1</v>
      </c>
      <c r="G15" s="70">
        <v>4</v>
      </c>
      <c r="H15" s="71">
        <v>3</v>
      </c>
      <c r="I15" s="70">
        <v>4</v>
      </c>
      <c r="J15" s="70">
        <v>1</v>
      </c>
      <c r="K15" s="70">
        <v>2</v>
      </c>
      <c r="L15" s="69">
        <v>3</v>
      </c>
      <c r="M15" s="69">
        <v>5</v>
      </c>
      <c r="N15" s="109">
        <f t="shared" si="2"/>
        <v>3.25</v>
      </c>
      <c r="O15" s="131">
        <v>45996</v>
      </c>
      <c r="P15" s="58"/>
      <c r="Q15" s="11"/>
      <c r="R15" s="11"/>
      <c r="S15" s="11"/>
      <c r="T15" s="11"/>
    </row>
    <row r="16" spans="1:20" ht="14.25" customHeight="1" x14ac:dyDescent="0.75">
      <c r="A16" s="64" t="s">
        <v>45</v>
      </c>
      <c r="B16" s="13">
        <v>1</v>
      </c>
      <c r="C16" s="13">
        <v>3</v>
      </c>
      <c r="D16" s="14">
        <v>3</v>
      </c>
      <c r="E16" s="13">
        <v>2</v>
      </c>
      <c r="F16" s="13">
        <v>1</v>
      </c>
      <c r="G16" s="14">
        <v>3</v>
      </c>
      <c r="H16" s="15">
        <v>1</v>
      </c>
      <c r="I16" s="14">
        <v>4</v>
      </c>
      <c r="J16" s="14">
        <v>1</v>
      </c>
      <c r="K16" s="14">
        <v>1</v>
      </c>
      <c r="L16" s="13">
        <v>2</v>
      </c>
      <c r="M16" s="13">
        <v>5</v>
      </c>
      <c r="N16" s="110">
        <f t="shared" si="2"/>
        <v>2.25</v>
      </c>
      <c r="O16" s="131">
        <v>45996</v>
      </c>
      <c r="P16" s="59"/>
      <c r="Q16" s="11"/>
      <c r="R16" s="11"/>
      <c r="S16" s="11"/>
      <c r="T16" s="11"/>
    </row>
    <row r="17" spans="1:20" ht="14.25" customHeight="1" x14ac:dyDescent="0.75">
      <c r="A17" s="64" t="s">
        <v>46</v>
      </c>
      <c r="B17" s="13">
        <v>4</v>
      </c>
      <c r="C17" s="13">
        <v>4</v>
      </c>
      <c r="D17" s="14">
        <v>3</v>
      </c>
      <c r="E17" s="13">
        <v>3</v>
      </c>
      <c r="F17" s="13">
        <v>2</v>
      </c>
      <c r="G17" s="14">
        <v>3</v>
      </c>
      <c r="H17" s="15">
        <v>3</v>
      </c>
      <c r="I17" s="14">
        <v>3</v>
      </c>
      <c r="J17" s="14">
        <v>3</v>
      </c>
      <c r="K17" s="14">
        <v>2</v>
      </c>
      <c r="L17" s="13">
        <v>3</v>
      </c>
      <c r="M17" s="13">
        <v>4</v>
      </c>
      <c r="N17" s="110">
        <f t="shared" si="2"/>
        <v>3.0833333333333335</v>
      </c>
      <c r="O17" s="131">
        <v>45996</v>
      </c>
      <c r="P17" s="59"/>
      <c r="Q17" s="11"/>
      <c r="R17" s="11"/>
      <c r="S17" s="11"/>
      <c r="T17" s="11"/>
    </row>
    <row r="18" spans="1:20" ht="14.25" customHeight="1" x14ac:dyDescent="0.75">
      <c r="A18" s="64" t="s">
        <v>47</v>
      </c>
      <c r="B18" s="15">
        <v>5</v>
      </c>
      <c r="C18" s="15">
        <v>2</v>
      </c>
      <c r="D18" s="13">
        <v>3</v>
      </c>
      <c r="E18" s="14">
        <v>3</v>
      </c>
      <c r="F18" s="13">
        <v>3</v>
      </c>
      <c r="G18" s="14">
        <v>3</v>
      </c>
      <c r="H18" s="13">
        <v>2</v>
      </c>
      <c r="I18" s="13">
        <v>3</v>
      </c>
      <c r="J18" s="13">
        <v>4</v>
      </c>
      <c r="K18" s="14">
        <v>2</v>
      </c>
      <c r="L18" s="13">
        <v>2</v>
      </c>
      <c r="M18" s="13">
        <v>2</v>
      </c>
      <c r="N18" s="110">
        <f t="shared" si="2"/>
        <v>2.8333333333333335</v>
      </c>
      <c r="O18" s="131">
        <v>45996</v>
      </c>
      <c r="P18" s="59"/>
      <c r="Q18" s="11"/>
      <c r="R18" s="11"/>
      <c r="S18" s="11"/>
      <c r="T18" s="11"/>
    </row>
    <row r="19" spans="1:20" ht="13.5" customHeight="1" x14ac:dyDescent="0.75">
      <c r="A19" s="64" t="s">
        <v>48</v>
      </c>
      <c r="B19" s="13">
        <v>5</v>
      </c>
      <c r="C19" s="13">
        <v>3</v>
      </c>
      <c r="D19" s="13">
        <v>3</v>
      </c>
      <c r="E19" s="13">
        <v>5</v>
      </c>
      <c r="F19" s="13">
        <v>1</v>
      </c>
      <c r="G19" s="15">
        <v>4</v>
      </c>
      <c r="H19" s="15">
        <v>3</v>
      </c>
      <c r="I19" s="15">
        <v>4</v>
      </c>
      <c r="J19" s="13">
        <v>1</v>
      </c>
      <c r="K19" s="14">
        <v>2</v>
      </c>
      <c r="L19" s="15">
        <v>2</v>
      </c>
      <c r="M19" s="15">
        <v>1</v>
      </c>
      <c r="N19" s="110">
        <f t="shared" si="2"/>
        <v>2.8333333333333335</v>
      </c>
      <c r="O19" s="131">
        <v>45996</v>
      </c>
      <c r="P19" s="59"/>
      <c r="Q19" s="11"/>
      <c r="R19" s="11"/>
      <c r="S19" s="11"/>
      <c r="T19" s="11"/>
    </row>
    <row r="20" spans="1:20" ht="14.25" customHeight="1" x14ac:dyDescent="0.75">
      <c r="A20" s="64" t="s">
        <v>49</v>
      </c>
      <c r="B20" s="14">
        <v>4</v>
      </c>
      <c r="C20" s="15">
        <v>3</v>
      </c>
      <c r="D20" s="14">
        <v>4</v>
      </c>
      <c r="E20" s="13">
        <v>3</v>
      </c>
      <c r="F20" s="15">
        <v>4</v>
      </c>
      <c r="G20" s="15">
        <v>3</v>
      </c>
      <c r="H20" s="13">
        <v>3</v>
      </c>
      <c r="I20" s="13">
        <v>4</v>
      </c>
      <c r="J20" s="14">
        <v>3</v>
      </c>
      <c r="K20" s="15">
        <v>3</v>
      </c>
      <c r="L20" s="14">
        <v>3</v>
      </c>
      <c r="M20" s="15">
        <v>3</v>
      </c>
      <c r="N20" s="110">
        <f t="shared" si="2"/>
        <v>3.3333333333333335</v>
      </c>
      <c r="O20" s="131">
        <v>45996</v>
      </c>
      <c r="P20" s="59"/>
      <c r="Q20" s="11"/>
      <c r="R20" s="11"/>
      <c r="S20" s="11"/>
      <c r="T20" s="11"/>
    </row>
    <row r="21" spans="1:20" ht="14.25" customHeight="1" thickBot="1" x14ac:dyDescent="0.9">
      <c r="A21" s="64" t="s">
        <v>50</v>
      </c>
      <c r="B21" s="14">
        <v>2</v>
      </c>
      <c r="C21" s="15">
        <v>2</v>
      </c>
      <c r="D21" s="14">
        <v>3</v>
      </c>
      <c r="E21" s="13">
        <v>2</v>
      </c>
      <c r="F21" s="15">
        <v>2</v>
      </c>
      <c r="G21" s="15">
        <v>3</v>
      </c>
      <c r="H21" s="13">
        <v>2</v>
      </c>
      <c r="I21" s="13">
        <v>5</v>
      </c>
      <c r="J21" s="14">
        <v>2</v>
      </c>
      <c r="K21" s="15">
        <v>3</v>
      </c>
      <c r="L21" s="14">
        <v>4</v>
      </c>
      <c r="M21" s="15">
        <v>2</v>
      </c>
      <c r="N21" s="110">
        <f t="shared" si="2"/>
        <v>2.6666666666666665</v>
      </c>
      <c r="O21" s="131">
        <v>45996</v>
      </c>
      <c r="P21" s="59"/>
      <c r="Q21" s="11"/>
      <c r="R21" s="11"/>
      <c r="S21" s="11"/>
      <c r="T21" s="11"/>
    </row>
    <row r="22" spans="1:20" ht="14.25" customHeight="1" thickBot="1" x14ac:dyDescent="0.9">
      <c r="A22" s="54" t="s">
        <v>51</v>
      </c>
      <c r="B22" s="72">
        <f t="shared" ref="B22:M22" si="3">AVERAGE(B23:B31)</f>
        <v>3.6666666666666665</v>
      </c>
      <c r="C22" s="72">
        <f t="shared" si="3"/>
        <v>3.2222222222222223</v>
      </c>
      <c r="D22" s="72">
        <f t="shared" si="3"/>
        <v>3.5555555555555554</v>
      </c>
      <c r="E22" s="72">
        <f t="shared" si="3"/>
        <v>3.3333333333333335</v>
      </c>
      <c r="F22" s="72">
        <f t="shared" si="3"/>
        <v>3.1111111111111112</v>
      </c>
      <c r="G22" s="72">
        <f t="shared" si="3"/>
        <v>2.8888888888888888</v>
      </c>
      <c r="H22" s="72">
        <f t="shared" si="3"/>
        <v>3.6666666666666665</v>
      </c>
      <c r="I22" s="72">
        <f t="shared" si="3"/>
        <v>3.3333333333333335</v>
      </c>
      <c r="J22" s="72">
        <f t="shared" si="3"/>
        <v>4.1111111111111107</v>
      </c>
      <c r="K22" s="73">
        <f t="shared" si="3"/>
        <v>4</v>
      </c>
      <c r="L22" s="72">
        <f t="shared" si="3"/>
        <v>3.3333333333333335</v>
      </c>
      <c r="M22" s="72">
        <f t="shared" si="3"/>
        <v>2.7777777777777777</v>
      </c>
      <c r="N22" s="108">
        <f t="shared" si="2"/>
        <v>3.4166666666666665</v>
      </c>
      <c r="O22" s="123"/>
      <c r="P22" s="74" t="s">
        <v>52</v>
      </c>
      <c r="Q22" s="11"/>
      <c r="R22" s="11"/>
      <c r="S22" s="11"/>
      <c r="T22" s="11"/>
    </row>
    <row r="23" spans="1:20" ht="14.25" customHeight="1" x14ac:dyDescent="0.75">
      <c r="A23" s="62" t="s">
        <v>53</v>
      </c>
      <c r="B23" s="75">
        <v>4</v>
      </c>
      <c r="C23" s="76">
        <v>3</v>
      </c>
      <c r="D23" s="75">
        <v>4</v>
      </c>
      <c r="E23" s="77">
        <v>2</v>
      </c>
      <c r="F23" s="76">
        <v>3</v>
      </c>
      <c r="G23" s="77">
        <v>2</v>
      </c>
      <c r="H23" s="75">
        <v>5</v>
      </c>
      <c r="I23" s="75">
        <v>4</v>
      </c>
      <c r="J23" s="77">
        <v>2</v>
      </c>
      <c r="K23" s="76">
        <v>3</v>
      </c>
      <c r="L23" s="75">
        <v>4</v>
      </c>
      <c r="M23" s="76">
        <v>3</v>
      </c>
      <c r="N23" s="112">
        <f t="shared" si="2"/>
        <v>3.25</v>
      </c>
      <c r="O23" s="131"/>
      <c r="P23" s="78" t="s">
        <v>54</v>
      </c>
      <c r="Q23" s="11"/>
      <c r="R23" s="11"/>
      <c r="S23" s="11"/>
      <c r="T23" s="11"/>
    </row>
    <row r="24" spans="1:20" ht="14.25" customHeight="1" x14ac:dyDescent="0.75">
      <c r="A24" s="64" t="s">
        <v>55</v>
      </c>
      <c r="B24" s="79">
        <v>5</v>
      </c>
      <c r="C24" s="79">
        <v>5</v>
      </c>
      <c r="D24" s="79">
        <v>5</v>
      </c>
      <c r="E24" s="80">
        <v>3</v>
      </c>
      <c r="F24" s="79">
        <v>4</v>
      </c>
      <c r="G24" s="80">
        <v>3</v>
      </c>
      <c r="H24" s="79">
        <v>4</v>
      </c>
      <c r="I24" s="79">
        <v>5</v>
      </c>
      <c r="J24" s="79">
        <v>5</v>
      </c>
      <c r="K24" s="79">
        <v>4</v>
      </c>
      <c r="L24" s="80">
        <v>3</v>
      </c>
      <c r="M24" s="80">
        <v>3</v>
      </c>
      <c r="N24" s="113">
        <f t="shared" si="2"/>
        <v>4.083333333333333</v>
      </c>
      <c r="O24" s="131"/>
      <c r="P24" s="81" t="s">
        <v>54</v>
      </c>
      <c r="Q24" s="11"/>
      <c r="R24" s="11"/>
      <c r="S24" s="11"/>
      <c r="T24" s="11"/>
    </row>
    <row r="25" spans="1:20" ht="14.25" customHeight="1" x14ac:dyDescent="0.75">
      <c r="A25" s="64" t="s">
        <v>56</v>
      </c>
      <c r="B25" s="79">
        <v>5</v>
      </c>
      <c r="C25" s="82">
        <v>2</v>
      </c>
      <c r="D25" s="82">
        <v>2</v>
      </c>
      <c r="E25" s="82">
        <v>2</v>
      </c>
      <c r="F25" s="80">
        <v>3</v>
      </c>
      <c r="G25" s="80">
        <v>3</v>
      </c>
      <c r="H25" s="82">
        <v>2</v>
      </c>
      <c r="I25" s="79">
        <v>5</v>
      </c>
      <c r="J25" s="79">
        <v>5</v>
      </c>
      <c r="K25" s="79">
        <v>5</v>
      </c>
      <c r="L25" s="79">
        <v>4</v>
      </c>
      <c r="M25" s="82">
        <v>2</v>
      </c>
      <c r="N25" s="113">
        <f t="shared" si="2"/>
        <v>3.3333333333333335</v>
      </c>
      <c r="O25" s="125"/>
      <c r="P25" s="81" t="s">
        <v>54</v>
      </c>
      <c r="Q25" s="11"/>
      <c r="R25" s="11"/>
      <c r="S25" s="11"/>
      <c r="T25" s="11"/>
    </row>
    <row r="26" spans="1:20" ht="14.25" customHeight="1" x14ac:dyDescent="0.75">
      <c r="A26" s="64" t="s">
        <v>57</v>
      </c>
      <c r="B26" s="82">
        <v>2</v>
      </c>
      <c r="C26" s="79">
        <v>4</v>
      </c>
      <c r="D26" s="79">
        <v>4</v>
      </c>
      <c r="E26" s="82">
        <v>2</v>
      </c>
      <c r="F26" s="79">
        <v>4</v>
      </c>
      <c r="G26" s="79">
        <v>5</v>
      </c>
      <c r="H26" s="79">
        <v>5</v>
      </c>
      <c r="I26" s="82">
        <v>2</v>
      </c>
      <c r="J26" s="79">
        <v>4</v>
      </c>
      <c r="K26" s="80">
        <v>3</v>
      </c>
      <c r="L26" s="82">
        <v>2</v>
      </c>
      <c r="M26" s="79">
        <v>4</v>
      </c>
      <c r="N26" s="113">
        <f t="shared" si="2"/>
        <v>3.4166666666666665</v>
      </c>
      <c r="O26" s="125"/>
      <c r="P26" s="81" t="s">
        <v>54</v>
      </c>
      <c r="Q26" s="11"/>
      <c r="R26" s="11"/>
      <c r="S26" s="11"/>
      <c r="T26" s="11"/>
    </row>
    <row r="27" spans="1:20" ht="14.25" customHeight="1" x14ac:dyDescent="0.75">
      <c r="A27" s="64" t="s">
        <v>58</v>
      </c>
      <c r="B27" s="80">
        <v>3</v>
      </c>
      <c r="C27" s="80">
        <v>3</v>
      </c>
      <c r="D27" s="79">
        <v>4</v>
      </c>
      <c r="E27" s="80">
        <v>3</v>
      </c>
      <c r="F27" s="82">
        <v>2</v>
      </c>
      <c r="G27" s="79">
        <v>4</v>
      </c>
      <c r="H27" s="82">
        <v>2</v>
      </c>
      <c r="I27" s="82">
        <v>2</v>
      </c>
      <c r="J27" s="79">
        <v>4</v>
      </c>
      <c r="K27" s="79">
        <v>4</v>
      </c>
      <c r="L27" s="80">
        <v>3</v>
      </c>
      <c r="M27" s="82">
        <v>2</v>
      </c>
      <c r="N27" s="113">
        <f t="shared" si="2"/>
        <v>3</v>
      </c>
      <c r="O27" s="125"/>
      <c r="P27" s="81" t="s">
        <v>54</v>
      </c>
      <c r="Q27" s="11"/>
      <c r="R27" s="11"/>
      <c r="S27" s="11"/>
      <c r="T27" s="11"/>
    </row>
    <row r="28" spans="1:20" ht="14.25" customHeight="1" x14ac:dyDescent="0.75">
      <c r="A28" s="64" t="s">
        <v>59</v>
      </c>
      <c r="B28" s="80">
        <v>3</v>
      </c>
      <c r="C28" s="82">
        <v>2</v>
      </c>
      <c r="D28" s="82">
        <v>2</v>
      </c>
      <c r="E28" s="79">
        <v>5</v>
      </c>
      <c r="F28" s="82">
        <v>2</v>
      </c>
      <c r="G28" s="80">
        <v>3</v>
      </c>
      <c r="H28" s="79">
        <v>5</v>
      </c>
      <c r="I28" s="80">
        <v>3</v>
      </c>
      <c r="J28" s="79">
        <v>4</v>
      </c>
      <c r="K28" s="79">
        <v>5</v>
      </c>
      <c r="L28" s="80">
        <v>3</v>
      </c>
      <c r="M28" s="80">
        <v>3</v>
      </c>
      <c r="N28" s="113">
        <f t="shared" si="2"/>
        <v>3.3333333333333335</v>
      </c>
      <c r="O28" s="125"/>
      <c r="P28" s="81" t="s">
        <v>54</v>
      </c>
      <c r="Q28" s="11"/>
      <c r="R28" s="11"/>
      <c r="S28" s="11"/>
      <c r="T28" s="11"/>
    </row>
    <row r="29" spans="1:20" ht="14.25" customHeight="1" x14ac:dyDescent="0.75">
      <c r="A29" s="64" t="s">
        <v>60</v>
      </c>
      <c r="B29" s="79">
        <v>4</v>
      </c>
      <c r="C29" s="79">
        <v>5</v>
      </c>
      <c r="D29" s="79">
        <v>4</v>
      </c>
      <c r="E29" s="79">
        <v>5</v>
      </c>
      <c r="F29" s="79">
        <v>5</v>
      </c>
      <c r="G29" s="82">
        <v>2</v>
      </c>
      <c r="H29" s="80">
        <v>3</v>
      </c>
      <c r="I29" s="82">
        <v>2</v>
      </c>
      <c r="J29" s="79">
        <v>4</v>
      </c>
      <c r="K29" s="82">
        <v>2</v>
      </c>
      <c r="L29" s="80">
        <v>3</v>
      </c>
      <c r="M29" s="80">
        <v>3</v>
      </c>
      <c r="N29" s="113">
        <f t="shared" si="2"/>
        <v>3.5</v>
      </c>
      <c r="O29" s="125"/>
      <c r="P29" s="81" t="s">
        <v>54</v>
      </c>
      <c r="Q29" s="11"/>
      <c r="R29" s="11"/>
      <c r="S29" s="11"/>
      <c r="T29" s="11"/>
    </row>
    <row r="30" spans="1:20" ht="14.25" customHeight="1" x14ac:dyDescent="0.75">
      <c r="A30" s="64" t="s">
        <v>61</v>
      </c>
      <c r="B30" s="82">
        <v>2</v>
      </c>
      <c r="C30" s="82">
        <v>2</v>
      </c>
      <c r="D30" s="82">
        <v>2</v>
      </c>
      <c r="E30" s="80">
        <v>3</v>
      </c>
      <c r="F30" s="82">
        <v>2</v>
      </c>
      <c r="G30" s="82">
        <v>2</v>
      </c>
      <c r="H30" s="82">
        <v>2</v>
      </c>
      <c r="I30" s="80">
        <v>3</v>
      </c>
      <c r="J30" s="79">
        <v>4</v>
      </c>
      <c r="K30" s="79">
        <v>5</v>
      </c>
      <c r="L30" s="80">
        <v>3</v>
      </c>
      <c r="M30" s="80">
        <v>3</v>
      </c>
      <c r="N30" s="113">
        <f t="shared" si="2"/>
        <v>2.75</v>
      </c>
      <c r="O30" s="125"/>
      <c r="P30" s="81" t="s">
        <v>54</v>
      </c>
      <c r="Q30" s="11"/>
      <c r="R30" s="11"/>
      <c r="S30" s="11"/>
      <c r="T30" s="11"/>
    </row>
    <row r="31" spans="1:20" ht="14.25" customHeight="1" thickBot="1" x14ac:dyDescent="0.9">
      <c r="A31" s="66" t="s">
        <v>62</v>
      </c>
      <c r="B31" s="83">
        <v>5</v>
      </c>
      <c r="C31" s="84">
        <v>3</v>
      </c>
      <c r="D31" s="83">
        <v>5</v>
      </c>
      <c r="E31" s="83">
        <v>5</v>
      </c>
      <c r="F31" s="84">
        <v>3</v>
      </c>
      <c r="G31" s="85">
        <v>2</v>
      </c>
      <c r="H31" s="83">
        <v>5</v>
      </c>
      <c r="I31" s="83">
        <v>4</v>
      </c>
      <c r="J31" s="83">
        <v>5</v>
      </c>
      <c r="K31" s="83">
        <v>5</v>
      </c>
      <c r="L31" s="83">
        <v>5</v>
      </c>
      <c r="M31" s="85">
        <v>2</v>
      </c>
      <c r="N31" s="114">
        <f t="shared" si="2"/>
        <v>4.083333333333333</v>
      </c>
      <c r="O31" s="126"/>
      <c r="P31" s="86" t="s">
        <v>54</v>
      </c>
      <c r="Q31" s="11"/>
      <c r="R31" s="11"/>
      <c r="S31" s="11"/>
      <c r="T31" s="11"/>
    </row>
    <row r="32" spans="1:20" ht="14.25" customHeight="1" thickBot="1" x14ac:dyDescent="0.9">
      <c r="A32" s="54" t="s">
        <v>63</v>
      </c>
      <c r="B32" s="72">
        <f t="shared" ref="B32:M32" si="4">AVERAGE(B33:B38)</f>
        <v>3</v>
      </c>
      <c r="C32" s="72">
        <f t="shared" si="4"/>
        <v>3.3333333333333335</v>
      </c>
      <c r="D32" s="72">
        <f t="shared" si="4"/>
        <v>3.3333333333333335</v>
      </c>
      <c r="E32" s="72">
        <f t="shared" si="4"/>
        <v>3.6666666666666665</v>
      </c>
      <c r="F32" s="72">
        <f t="shared" si="4"/>
        <v>2.8333333333333335</v>
      </c>
      <c r="G32" s="72">
        <f t="shared" si="4"/>
        <v>3.1666666666666665</v>
      </c>
      <c r="H32" s="72">
        <f t="shared" si="4"/>
        <v>2.5</v>
      </c>
      <c r="I32" s="72">
        <f t="shared" si="4"/>
        <v>4.166666666666667</v>
      </c>
      <c r="J32" s="72">
        <f t="shared" si="4"/>
        <v>3.6666666666666665</v>
      </c>
      <c r="K32" s="72">
        <f t="shared" si="4"/>
        <v>3.8333333333333335</v>
      </c>
      <c r="L32" s="72">
        <f t="shared" si="4"/>
        <v>3.3333333333333335</v>
      </c>
      <c r="M32" s="72">
        <f t="shared" si="4"/>
        <v>3.6666666666666665</v>
      </c>
      <c r="N32" s="108">
        <f t="shared" si="2"/>
        <v>3.3750000000000004</v>
      </c>
      <c r="O32" s="123"/>
      <c r="P32" s="74" t="s">
        <v>52</v>
      </c>
      <c r="Q32" s="11"/>
      <c r="R32" s="11"/>
      <c r="S32" s="11"/>
      <c r="T32" s="11"/>
    </row>
    <row r="33" spans="1:20" ht="14.25" customHeight="1" x14ac:dyDescent="0.75">
      <c r="A33" s="62" t="s">
        <v>64</v>
      </c>
      <c r="B33" s="77">
        <v>2</v>
      </c>
      <c r="C33" s="77">
        <v>2</v>
      </c>
      <c r="D33" s="75">
        <v>5</v>
      </c>
      <c r="E33" s="75">
        <v>4</v>
      </c>
      <c r="F33" s="77">
        <v>2</v>
      </c>
      <c r="G33" s="76">
        <v>3</v>
      </c>
      <c r="H33" s="76">
        <v>3</v>
      </c>
      <c r="I33" s="75">
        <v>5</v>
      </c>
      <c r="J33" s="76">
        <v>3</v>
      </c>
      <c r="K33" s="75">
        <v>5</v>
      </c>
      <c r="L33" s="76">
        <v>3</v>
      </c>
      <c r="M33" s="75">
        <v>4</v>
      </c>
      <c r="N33" s="112">
        <f t="shared" si="2"/>
        <v>3.4166666666666665</v>
      </c>
      <c r="O33" s="124"/>
      <c r="P33" s="78" t="s">
        <v>54</v>
      </c>
      <c r="Q33" s="11"/>
      <c r="R33" s="11"/>
      <c r="S33" s="11"/>
      <c r="T33" s="11"/>
    </row>
    <row r="34" spans="1:20" ht="14.25" customHeight="1" x14ac:dyDescent="0.75">
      <c r="A34" s="64" t="s">
        <v>65</v>
      </c>
      <c r="B34" s="79">
        <v>5</v>
      </c>
      <c r="C34" s="80">
        <v>3</v>
      </c>
      <c r="D34" s="82">
        <v>2</v>
      </c>
      <c r="E34" s="79">
        <v>5</v>
      </c>
      <c r="F34" s="82">
        <v>2</v>
      </c>
      <c r="G34" s="82">
        <v>2</v>
      </c>
      <c r="H34" s="82">
        <v>2</v>
      </c>
      <c r="I34" s="80">
        <v>3</v>
      </c>
      <c r="J34" s="80">
        <v>3</v>
      </c>
      <c r="K34" s="79">
        <v>5</v>
      </c>
      <c r="L34" s="79">
        <v>5</v>
      </c>
      <c r="M34" s="79">
        <v>5</v>
      </c>
      <c r="N34" s="113">
        <f t="shared" si="2"/>
        <v>3.5</v>
      </c>
      <c r="O34" s="125"/>
      <c r="P34" s="81" t="s">
        <v>54</v>
      </c>
      <c r="Q34" s="11"/>
      <c r="R34" s="11"/>
      <c r="S34" s="11"/>
      <c r="T34" s="11"/>
    </row>
    <row r="35" spans="1:20" ht="14.25" customHeight="1" x14ac:dyDescent="0.75">
      <c r="A35" s="64" t="s">
        <v>66</v>
      </c>
      <c r="B35" s="80">
        <v>3</v>
      </c>
      <c r="C35" s="79">
        <v>5</v>
      </c>
      <c r="D35" s="82">
        <v>2</v>
      </c>
      <c r="E35" s="80">
        <v>3</v>
      </c>
      <c r="F35" s="79">
        <v>5</v>
      </c>
      <c r="G35" s="82">
        <v>2</v>
      </c>
      <c r="H35" s="79">
        <v>4</v>
      </c>
      <c r="I35" s="79">
        <v>5</v>
      </c>
      <c r="J35" s="79">
        <v>4</v>
      </c>
      <c r="K35" s="79">
        <v>5</v>
      </c>
      <c r="L35" s="79">
        <v>5</v>
      </c>
      <c r="M35" s="80">
        <v>3</v>
      </c>
      <c r="N35" s="113">
        <f t="shared" si="2"/>
        <v>3.8333333333333335</v>
      </c>
      <c r="O35" s="125"/>
      <c r="P35" s="81" t="s">
        <v>54</v>
      </c>
      <c r="Q35" s="11"/>
      <c r="R35" s="11"/>
      <c r="S35" s="11"/>
      <c r="T35" s="11"/>
    </row>
    <row r="36" spans="1:20" ht="14.25" customHeight="1" x14ac:dyDescent="0.75">
      <c r="A36" s="64" t="s">
        <v>67</v>
      </c>
      <c r="B36" s="80">
        <v>3</v>
      </c>
      <c r="C36" s="79">
        <v>4</v>
      </c>
      <c r="D36" s="80">
        <v>3</v>
      </c>
      <c r="E36" s="82">
        <v>2</v>
      </c>
      <c r="F36" s="82">
        <v>2</v>
      </c>
      <c r="G36" s="79">
        <v>4</v>
      </c>
      <c r="H36" s="82">
        <v>2</v>
      </c>
      <c r="I36" s="79">
        <v>5</v>
      </c>
      <c r="J36" s="80">
        <v>3</v>
      </c>
      <c r="K36" s="82">
        <v>2</v>
      </c>
      <c r="L36" s="82">
        <v>2</v>
      </c>
      <c r="M36" s="80">
        <v>3</v>
      </c>
      <c r="N36" s="113">
        <f t="shared" si="2"/>
        <v>2.9166666666666665</v>
      </c>
      <c r="O36" s="125"/>
      <c r="P36" s="81" t="s">
        <v>54</v>
      </c>
      <c r="Q36" s="11"/>
      <c r="R36" s="11"/>
      <c r="S36" s="11"/>
      <c r="T36" s="11"/>
    </row>
    <row r="37" spans="1:20" ht="14.25" customHeight="1" x14ac:dyDescent="0.75">
      <c r="A37" s="64" t="s">
        <v>68</v>
      </c>
      <c r="B37" s="82">
        <v>2</v>
      </c>
      <c r="C37" s="82">
        <v>2</v>
      </c>
      <c r="D37" s="80">
        <v>3</v>
      </c>
      <c r="E37" s="79">
        <v>5</v>
      </c>
      <c r="F37" s="82">
        <v>2</v>
      </c>
      <c r="G37" s="80">
        <v>3</v>
      </c>
      <c r="H37" s="82">
        <v>2</v>
      </c>
      <c r="I37" s="79">
        <v>5</v>
      </c>
      <c r="J37" s="79">
        <v>4</v>
      </c>
      <c r="K37" s="79">
        <v>4</v>
      </c>
      <c r="L37" s="80">
        <v>3</v>
      </c>
      <c r="M37" s="79">
        <v>4</v>
      </c>
      <c r="N37" s="113">
        <f t="shared" si="2"/>
        <v>3.25</v>
      </c>
      <c r="O37" s="125"/>
      <c r="P37" s="81" t="s">
        <v>54</v>
      </c>
      <c r="Q37" s="11"/>
      <c r="R37" s="11"/>
      <c r="S37" s="11"/>
      <c r="T37" s="11"/>
    </row>
    <row r="38" spans="1:20" ht="14.25" customHeight="1" thickBot="1" x14ac:dyDescent="0.9">
      <c r="A38" s="66" t="s">
        <v>69</v>
      </c>
      <c r="B38" s="84">
        <v>3</v>
      </c>
      <c r="C38" s="83">
        <v>4</v>
      </c>
      <c r="D38" s="83">
        <v>5</v>
      </c>
      <c r="E38" s="84">
        <v>3</v>
      </c>
      <c r="F38" s="83">
        <v>4</v>
      </c>
      <c r="G38" s="83">
        <v>5</v>
      </c>
      <c r="H38" s="85">
        <v>2</v>
      </c>
      <c r="I38" s="85">
        <v>2</v>
      </c>
      <c r="J38" s="83">
        <v>5</v>
      </c>
      <c r="K38" s="85">
        <v>2</v>
      </c>
      <c r="L38" s="85">
        <v>2</v>
      </c>
      <c r="M38" s="84">
        <v>3</v>
      </c>
      <c r="N38" s="114">
        <f t="shared" si="2"/>
        <v>3.3333333333333335</v>
      </c>
      <c r="O38" s="126"/>
      <c r="P38" s="86" t="s">
        <v>54</v>
      </c>
      <c r="Q38" s="11"/>
      <c r="R38" s="11"/>
      <c r="S38" s="11"/>
      <c r="T38" s="11"/>
    </row>
    <row r="39" spans="1:20" ht="14.25" customHeight="1" thickBot="1" x14ac:dyDescent="0.9">
      <c r="A39" s="54" t="s">
        <v>70</v>
      </c>
      <c r="B39" s="72">
        <f t="shared" ref="B39:M39" si="5">AVERAGE(B40:B46)</f>
        <v>3.1428571428571428</v>
      </c>
      <c r="C39" s="72">
        <f t="shared" si="5"/>
        <v>2.8571428571428572</v>
      </c>
      <c r="D39" s="72">
        <f t="shared" si="5"/>
        <v>3.1428571428571428</v>
      </c>
      <c r="E39" s="72">
        <f t="shared" si="5"/>
        <v>2.8571428571428572</v>
      </c>
      <c r="F39" s="72">
        <f t="shared" si="5"/>
        <v>3.4285714285714284</v>
      </c>
      <c r="G39" s="72">
        <f t="shared" si="5"/>
        <v>3.5714285714285716</v>
      </c>
      <c r="H39" s="72">
        <f t="shared" si="5"/>
        <v>3.1428571428571428</v>
      </c>
      <c r="I39" s="72">
        <f t="shared" si="5"/>
        <v>3.5714285714285716</v>
      </c>
      <c r="J39" s="72">
        <f t="shared" si="5"/>
        <v>3.7142857142857144</v>
      </c>
      <c r="K39" s="72">
        <f t="shared" si="5"/>
        <v>3.8571428571428572</v>
      </c>
      <c r="L39" s="72">
        <f t="shared" si="5"/>
        <v>3.8571428571428572</v>
      </c>
      <c r="M39" s="72">
        <f t="shared" si="5"/>
        <v>3.1428571428571428</v>
      </c>
      <c r="N39" s="108">
        <f t="shared" si="2"/>
        <v>3.3571428571428572</v>
      </c>
      <c r="O39" s="123"/>
      <c r="P39" s="74" t="s">
        <v>52</v>
      </c>
      <c r="Q39" s="11"/>
      <c r="R39" s="11"/>
      <c r="S39" s="11"/>
      <c r="T39" s="11"/>
    </row>
    <row r="40" spans="1:20" ht="14.25" customHeight="1" x14ac:dyDescent="0.75">
      <c r="A40" s="62" t="s">
        <v>71</v>
      </c>
      <c r="B40" s="75">
        <v>4</v>
      </c>
      <c r="C40" s="76">
        <v>3</v>
      </c>
      <c r="D40" s="75">
        <v>4</v>
      </c>
      <c r="E40" s="77">
        <v>2</v>
      </c>
      <c r="F40" s="76">
        <v>3</v>
      </c>
      <c r="G40" s="75">
        <v>4</v>
      </c>
      <c r="H40" s="76">
        <v>3</v>
      </c>
      <c r="I40" s="75">
        <v>5</v>
      </c>
      <c r="J40" s="75">
        <v>4</v>
      </c>
      <c r="K40" s="77">
        <v>2</v>
      </c>
      <c r="L40" s="75">
        <v>4</v>
      </c>
      <c r="M40" s="77">
        <v>2</v>
      </c>
      <c r="N40" s="112">
        <f t="shared" si="2"/>
        <v>3.3333333333333335</v>
      </c>
      <c r="O40" s="124"/>
      <c r="P40" s="78" t="s">
        <v>54</v>
      </c>
      <c r="Q40" s="11"/>
      <c r="R40" s="11"/>
      <c r="S40" s="11"/>
      <c r="T40" s="11"/>
    </row>
    <row r="41" spans="1:20" ht="14.25" customHeight="1" x14ac:dyDescent="0.75">
      <c r="A41" s="64" t="s">
        <v>72</v>
      </c>
      <c r="B41" s="80">
        <v>3</v>
      </c>
      <c r="C41" s="79">
        <v>4</v>
      </c>
      <c r="D41" s="82">
        <v>2</v>
      </c>
      <c r="E41" s="82">
        <v>2</v>
      </c>
      <c r="F41" s="80">
        <v>3</v>
      </c>
      <c r="G41" s="79">
        <v>4</v>
      </c>
      <c r="H41" s="80">
        <v>3</v>
      </c>
      <c r="I41" s="79">
        <v>4</v>
      </c>
      <c r="J41" s="80">
        <v>3</v>
      </c>
      <c r="K41" s="79">
        <v>4</v>
      </c>
      <c r="L41" s="79">
        <v>5</v>
      </c>
      <c r="M41" s="79">
        <v>4</v>
      </c>
      <c r="N41" s="113">
        <f t="shared" si="2"/>
        <v>3.4166666666666665</v>
      </c>
      <c r="O41" s="125"/>
      <c r="P41" s="81" t="s">
        <v>54</v>
      </c>
      <c r="Q41" s="11"/>
      <c r="R41" s="11"/>
      <c r="S41" s="11"/>
      <c r="T41" s="11"/>
    </row>
    <row r="42" spans="1:20" ht="14.25" customHeight="1" x14ac:dyDescent="0.75">
      <c r="A42" s="64" t="s">
        <v>73</v>
      </c>
      <c r="B42" s="82">
        <v>2</v>
      </c>
      <c r="C42" s="82">
        <v>2</v>
      </c>
      <c r="D42" s="79">
        <v>5</v>
      </c>
      <c r="E42" s="79">
        <v>4</v>
      </c>
      <c r="F42" s="82">
        <v>2</v>
      </c>
      <c r="G42" s="82">
        <v>2</v>
      </c>
      <c r="H42" s="80">
        <v>3</v>
      </c>
      <c r="I42" s="79">
        <v>4</v>
      </c>
      <c r="J42" s="80">
        <v>3</v>
      </c>
      <c r="K42" s="79">
        <v>5</v>
      </c>
      <c r="L42" s="79">
        <v>5</v>
      </c>
      <c r="M42" s="82">
        <v>2</v>
      </c>
      <c r="N42" s="113">
        <f t="shared" si="2"/>
        <v>3.25</v>
      </c>
      <c r="O42" s="125"/>
      <c r="P42" s="81" t="s">
        <v>54</v>
      </c>
      <c r="Q42" s="11"/>
      <c r="R42" s="11"/>
      <c r="S42" s="11"/>
      <c r="T42" s="11"/>
    </row>
    <row r="43" spans="1:20" ht="14.25" customHeight="1" x14ac:dyDescent="0.75">
      <c r="A43" s="64" t="s">
        <v>74</v>
      </c>
      <c r="B43" s="82">
        <v>2</v>
      </c>
      <c r="C43" s="82">
        <v>2</v>
      </c>
      <c r="D43" s="80">
        <v>3</v>
      </c>
      <c r="E43" s="82">
        <v>2</v>
      </c>
      <c r="F43" s="79">
        <v>4</v>
      </c>
      <c r="G43" s="80">
        <v>3</v>
      </c>
      <c r="H43" s="80">
        <v>3</v>
      </c>
      <c r="I43" s="82">
        <v>2</v>
      </c>
      <c r="J43" s="79">
        <v>4</v>
      </c>
      <c r="K43" s="79">
        <v>4</v>
      </c>
      <c r="L43" s="82">
        <v>2</v>
      </c>
      <c r="M43" s="79">
        <v>4</v>
      </c>
      <c r="N43" s="113">
        <f t="shared" si="2"/>
        <v>2.9166666666666665</v>
      </c>
      <c r="O43" s="125"/>
      <c r="P43" s="81" t="s">
        <v>54</v>
      </c>
      <c r="Q43" s="11"/>
      <c r="R43" s="11"/>
      <c r="S43" s="11"/>
      <c r="T43" s="11"/>
    </row>
    <row r="44" spans="1:20" ht="14.25" customHeight="1" x14ac:dyDescent="0.75">
      <c r="A44" s="64" t="s">
        <v>75</v>
      </c>
      <c r="B44" s="80">
        <v>3</v>
      </c>
      <c r="C44" s="80">
        <v>3</v>
      </c>
      <c r="D44" s="82">
        <v>2</v>
      </c>
      <c r="E44" s="79">
        <v>4</v>
      </c>
      <c r="F44" s="79">
        <v>5</v>
      </c>
      <c r="G44" s="80">
        <v>3</v>
      </c>
      <c r="H44" s="80">
        <v>3</v>
      </c>
      <c r="I44" s="80">
        <v>3</v>
      </c>
      <c r="J44" s="79">
        <v>5</v>
      </c>
      <c r="K44" s="82">
        <v>2</v>
      </c>
      <c r="L44" s="80">
        <v>3</v>
      </c>
      <c r="M44" s="79">
        <v>4</v>
      </c>
      <c r="N44" s="113">
        <f t="shared" si="2"/>
        <v>3.3333333333333335</v>
      </c>
      <c r="O44" s="125"/>
      <c r="P44" s="81" t="s">
        <v>54</v>
      </c>
      <c r="Q44" s="11"/>
      <c r="R44" s="11"/>
      <c r="S44" s="11"/>
      <c r="T44" s="11"/>
    </row>
    <row r="45" spans="1:20" ht="14.25" customHeight="1" x14ac:dyDescent="0.75">
      <c r="A45" s="64" t="s">
        <v>76</v>
      </c>
      <c r="B45" s="79">
        <v>5</v>
      </c>
      <c r="C45" s="80">
        <v>3</v>
      </c>
      <c r="D45" s="79">
        <v>4</v>
      </c>
      <c r="E45" s="80">
        <v>3</v>
      </c>
      <c r="F45" s="82">
        <v>2</v>
      </c>
      <c r="G45" s="79">
        <v>5</v>
      </c>
      <c r="H45" s="79">
        <v>5</v>
      </c>
      <c r="I45" s="80">
        <v>3</v>
      </c>
      <c r="J45" s="80">
        <v>3</v>
      </c>
      <c r="K45" s="79">
        <v>5</v>
      </c>
      <c r="L45" s="79">
        <v>4</v>
      </c>
      <c r="M45" s="79">
        <v>4</v>
      </c>
      <c r="N45" s="113">
        <f t="shared" si="2"/>
        <v>3.8333333333333335</v>
      </c>
      <c r="O45" s="125"/>
      <c r="P45" s="81" t="s">
        <v>54</v>
      </c>
      <c r="Q45" s="11"/>
      <c r="R45" s="11"/>
      <c r="S45" s="11"/>
      <c r="T45" s="11"/>
    </row>
    <row r="46" spans="1:20" ht="14.25" customHeight="1" thickBot="1" x14ac:dyDescent="0.9">
      <c r="A46" s="66" t="s">
        <v>77</v>
      </c>
      <c r="B46" s="84">
        <v>3</v>
      </c>
      <c r="C46" s="84">
        <v>3</v>
      </c>
      <c r="D46" s="85">
        <v>2</v>
      </c>
      <c r="E46" s="84">
        <v>3</v>
      </c>
      <c r="F46" s="83">
        <v>5</v>
      </c>
      <c r="G46" s="83">
        <v>4</v>
      </c>
      <c r="H46" s="85">
        <v>2</v>
      </c>
      <c r="I46" s="83">
        <v>4</v>
      </c>
      <c r="J46" s="83">
        <v>4</v>
      </c>
      <c r="K46" s="83">
        <v>5</v>
      </c>
      <c r="L46" s="83">
        <v>4</v>
      </c>
      <c r="M46" s="85">
        <v>2</v>
      </c>
      <c r="N46" s="114">
        <f t="shared" si="2"/>
        <v>3.4166666666666665</v>
      </c>
      <c r="O46" s="126"/>
      <c r="P46" s="86" t="s">
        <v>54</v>
      </c>
      <c r="Q46" s="11"/>
      <c r="R46" s="11"/>
      <c r="S46" s="11"/>
      <c r="T46" s="11"/>
    </row>
    <row r="47" spans="1:20" ht="14.25" customHeight="1" thickBot="1" x14ac:dyDescent="0.9">
      <c r="A47" s="54" t="s">
        <v>78</v>
      </c>
      <c r="B47" s="72">
        <f t="shared" ref="B47:M47" si="6">AVERAGE(B48:B51)</f>
        <v>3.25</v>
      </c>
      <c r="C47" s="72">
        <f t="shared" si="6"/>
        <v>3.25</v>
      </c>
      <c r="D47" s="72">
        <f t="shared" si="6"/>
        <v>4.25</v>
      </c>
      <c r="E47" s="72">
        <f t="shared" si="6"/>
        <v>3.25</v>
      </c>
      <c r="F47" s="72">
        <f t="shared" si="6"/>
        <v>2.75</v>
      </c>
      <c r="G47" s="72">
        <f t="shared" si="6"/>
        <v>3</v>
      </c>
      <c r="H47" s="72">
        <f t="shared" si="6"/>
        <v>3.25</v>
      </c>
      <c r="I47" s="72">
        <f t="shared" si="6"/>
        <v>3.5</v>
      </c>
      <c r="J47" s="72">
        <f t="shared" si="6"/>
        <v>4.5</v>
      </c>
      <c r="K47" s="72">
        <f t="shared" si="6"/>
        <v>2.75</v>
      </c>
      <c r="L47" s="72">
        <f t="shared" si="6"/>
        <v>4</v>
      </c>
      <c r="M47" s="72">
        <f t="shared" si="6"/>
        <v>4</v>
      </c>
      <c r="N47" s="108">
        <f t="shared" si="2"/>
        <v>3.4791666666666665</v>
      </c>
      <c r="O47" s="123"/>
      <c r="P47" s="74" t="s">
        <v>52</v>
      </c>
      <c r="Q47" s="11"/>
      <c r="R47" s="11"/>
      <c r="S47" s="11"/>
      <c r="T47" s="11"/>
    </row>
    <row r="48" spans="1:20" ht="14.25" customHeight="1" x14ac:dyDescent="0.75">
      <c r="A48" s="62" t="s">
        <v>79</v>
      </c>
      <c r="B48" s="77">
        <v>2</v>
      </c>
      <c r="C48" s="75">
        <v>4</v>
      </c>
      <c r="D48" s="76">
        <v>3</v>
      </c>
      <c r="E48" s="75">
        <v>4</v>
      </c>
      <c r="F48" s="77">
        <v>2</v>
      </c>
      <c r="G48" s="77">
        <v>2</v>
      </c>
      <c r="H48" s="75">
        <v>4</v>
      </c>
      <c r="I48" s="75">
        <v>4</v>
      </c>
      <c r="J48" s="75">
        <v>5</v>
      </c>
      <c r="K48" s="77">
        <v>2</v>
      </c>
      <c r="L48" s="75">
        <v>5</v>
      </c>
      <c r="M48" s="76">
        <v>3</v>
      </c>
      <c r="N48" s="112">
        <f t="shared" si="2"/>
        <v>3.3333333333333335</v>
      </c>
      <c r="O48" s="124"/>
      <c r="P48" s="78" t="s">
        <v>54</v>
      </c>
      <c r="Q48" s="11"/>
      <c r="R48" s="11"/>
      <c r="S48" s="11"/>
      <c r="T48" s="11"/>
    </row>
    <row r="49" spans="1:20" ht="14.25" customHeight="1" x14ac:dyDescent="0.75">
      <c r="A49" s="64" t="s">
        <v>80</v>
      </c>
      <c r="B49" s="79">
        <v>4</v>
      </c>
      <c r="C49" s="82">
        <v>2</v>
      </c>
      <c r="D49" s="79">
        <v>5</v>
      </c>
      <c r="E49" s="82">
        <v>2</v>
      </c>
      <c r="F49" s="80">
        <v>3</v>
      </c>
      <c r="G49" s="79">
        <v>4</v>
      </c>
      <c r="H49" s="82">
        <v>2</v>
      </c>
      <c r="I49" s="79">
        <v>4</v>
      </c>
      <c r="J49" s="79">
        <v>4</v>
      </c>
      <c r="K49" s="82">
        <v>2</v>
      </c>
      <c r="L49" s="79">
        <v>4</v>
      </c>
      <c r="M49" s="79">
        <v>4</v>
      </c>
      <c r="N49" s="113">
        <f t="shared" si="2"/>
        <v>3.3333333333333335</v>
      </c>
      <c r="O49" s="125"/>
      <c r="P49" s="81" t="s">
        <v>54</v>
      </c>
      <c r="Q49" s="11"/>
      <c r="R49" s="11"/>
      <c r="S49" s="11"/>
      <c r="T49" s="11"/>
    </row>
    <row r="50" spans="1:20" ht="14.25" customHeight="1" x14ac:dyDescent="0.75">
      <c r="A50" s="64" t="s">
        <v>81</v>
      </c>
      <c r="B50" s="79">
        <v>5</v>
      </c>
      <c r="C50" s="79">
        <v>4</v>
      </c>
      <c r="D50" s="79">
        <v>5</v>
      </c>
      <c r="E50" s="79">
        <v>4</v>
      </c>
      <c r="F50" s="80">
        <v>3</v>
      </c>
      <c r="G50" s="80">
        <v>3</v>
      </c>
      <c r="H50" s="79">
        <v>5</v>
      </c>
      <c r="I50" s="80">
        <v>3</v>
      </c>
      <c r="J50" s="79">
        <v>4</v>
      </c>
      <c r="K50" s="79">
        <v>5</v>
      </c>
      <c r="L50" s="82">
        <v>2</v>
      </c>
      <c r="M50" s="79">
        <v>4</v>
      </c>
      <c r="N50" s="113">
        <f t="shared" si="2"/>
        <v>3.9166666666666665</v>
      </c>
      <c r="O50" s="125"/>
      <c r="P50" s="81" t="s">
        <v>54</v>
      </c>
      <c r="Q50" s="11"/>
      <c r="R50" s="11"/>
      <c r="S50" s="11"/>
      <c r="T50" s="11"/>
    </row>
    <row r="51" spans="1:20" ht="14.25" customHeight="1" thickBot="1" x14ac:dyDescent="0.9">
      <c r="A51" s="66" t="s">
        <v>82</v>
      </c>
      <c r="B51" s="85">
        <v>2</v>
      </c>
      <c r="C51" s="84">
        <v>3</v>
      </c>
      <c r="D51" s="83">
        <v>4</v>
      </c>
      <c r="E51" s="84">
        <v>3</v>
      </c>
      <c r="F51" s="84">
        <v>3</v>
      </c>
      <c r="G51" s="84">
        <v>3</v>
      </c>
      <c r="H51" s="85">
        <v>2</v>
      </c>
      <c r="I51" s="84">
        <v>3</v>
      </c>
      <c r="J51" s="83">
        <v>5</v>
      </c>
      <c r="K51" s="85">
        <v>2</v>
      </c>
      <c r="L51" s="83">
        <v>5</v>
      </c>
      <c r="M51" s="83">
        <v>5</v>
      </c>
      <c r="N51" s="114">
        <f t="shared" si="2"/>
        <v>3.3333333333333335</v>
      </c>
      <c r="O51" s="126"/>
      <c r="P51" s="86" t="s">
        <v>54</v>
      </c>
      <c r="Q51" s="11"/>
      <c r="R51" s="11"/>
      <c r="S51" s="11"/>
      <c r="T51" s="11"/>
    </row>
    <row r="52" spans="1:20" ht="14.25" customHeight="1" thickBot="1" x14ac:dyDescent="0.9">
      <c r="A52" s="54" t="s">
        <v>83</v>
      </c>
      <c r="B52" s="68">
        <f t="shared" ref="B52:M52" si="7">AVERAGE(B53:B57)</f>
        <v>3</v>
      </c>
      <c r="C52" s="68">
        <f t="shared" si="7"/>
        <v>3.6</v>
      </c>
      <c r="D52" s="68">
        <f t="shared" si="7"/>
        <v>4.5999999999999996</v>
      </c>
      <c r="E52" s="68">
        <f t="shared" si="7"/>
        <v>3.6</v>
      </c>
      <c r="F52" s="68">
        <f t="shared" si="7"/>
        <v>3.8</v>
      </c>
      <c r="G52" s="68">
        <f t="shared" si="7"/>
        <v>4.4000000000000004</v>
      </c>
      <c r="H52" s="68">
        <f t="shared" si="7"/>
        <v>4.5999999999999996</v>
      </c>
      <c r="I52" s="68">
        <f t="shared" si="7"/>
        <v>4</v>
      </c>
      <c r="J52" s="68">
        <f t="shared" si="7"/>
        <v>4.2</v>
      </c>
      <c r="K52" s="68">
        <f t="shared" si="7"/>
        <v>4.4000000000000004</v>
      </c>
      <c r="L52" s="68">
        <f t="shared" si="7"/>
        <v>3.8</v>
      </c>
      <c r="M52" s="68">
        <f t="shared" si="7"/>
        <v>3.6</v>
      </c>
      <c r="N52" s="108">
        <f t="shared" si="2"/>
        <v>3.9666666666666668</v>
      </c>
      <c r="O52" s="123"/>
      <c r="P52" s="74" t="s">
        <v>52</v>
      </c>
      <c r="Q52" s="11"/>
      <c r="R52" s="11"/>
      <c r="S52" s="11"/>
      <c r="T52" s="11"/>
    </row>
    <row r="53" spans="1:20" ht="14.25" customHeight="1" x14ac:dyDescent="0.75">
      <c r="A53" s="62" t="s">
        <v>84</v>
      </c>
      <c r="B53" s="76">
        <v>3</v>
      </c>
      <c r="C53" s="77">
        <v>2</v>
      </c>
      <c r="D53" s="75">
        <v>5</v>
      </c>
      <c r="E53" s="76">
        <v>3</v>
      </c>
      <c r="F53" s="75">
        <v>5</v>
      </c>
      <c r="G53" s="75">
        <v>4</v>
      </c>
      <c r="H53" s="75">
        <v>5</v>
      </c>
      <c r="I53" s="75">
        <v>5</v>
      </c>
      <c r="J53" s="76">
        <v>3</v>
      </c>
      <c r="K53" s="75">
        <v>5</v>
      </c>
      <c r="L53" s="75">
        <v>5</v>
      </c>
      <c r="M53" s="75">
        <v>4</v>
      </c>
      <c r="N53" s="112">
        <f t="shared" si="2"/>
        <v>4.083333333333333</v>
      </c>
      <c r="O53" s="124"/>
      <c r="P53" s="78" t="s">
        <v>54</v>
      </c>
      <c r="Q53" s="11"/>
      <c r="R53" s="11"/>
      <c r="S53" s="11"/>
      <c r="T53" s="11"/>
    </row>
    <row r="54" spans="1:20" ht="14.25" customHeight="1" x14ac:dyDescent="0.75">
      <c r="A54" s="64" t="s">
        <v>85</v>
      </c>
      <c r="B54" s="80">
        <v>3</v>
      </c>
      <c r="C54" s="79">
        <v>4</v>
      </c>
      <c r="D54" s="79">
        <v>5</v>
      </c>
      <c r="E54" s="80">
        <v>3</v>
      </c>
      <c r="F54" s="79">
        <v>4</v>
      </c>
      <c r="G54" s="79">
        <v>5</v>
      </c>
      <c r="H54" s="79">
        <v>4</v>
      </c>
      <c r="I54" s="80">
        <v>3</v>
      </c>
      <c r="J54" s="79">
        <v>4</v>
      </c>
      <c r="K54" s="79">
        <v>4</v>
      </c>
      <c r="L54" s="79">
        <v>4</v>
      </c>
      <c r="M54" s="82">
        <v>2</v>
      </c>
      <c r="N54" s="113">
        <f t="shared" si="2"/>
        <v>3.75</v>
      </c>
      <c r="O54" s="125"/>
      <c r="P54" s="81" t="s">
        <v>54</v>
      </c>
      <c r="Q54" s="11"/>
      <c r="R54" s="11"/>
      <c r="S54" s="11"/>
      <c r="T54" s="11"/>
    </row>
    <row r="55" spans="1:20" ht="14.25" customHeight="1" x14ac:dyDescent="0.75">
      <c r="A55" s="64" t="s">
        <v>86</v>
      </c>
      <c r="B55" s="80">
        <v>3</v>
      </c>
      <c r="C55" s="80">
        <v>3</v>
      </c>
      <c r="D55" s="80">
        <v>3</v>
      </c>
      <c r="E55" s="79">
        <v>5</v>
      </c>
      <c r="F55" s="80">
        <v>3</v>
      </c>
      <c r="G55" s="80">
        <v>3</v>
      </c>
      <c r="H55" s="79">
        <v>5</v>
      </c>
      <c r="I55" s="79">
        <v>5</v>
      </c>
      <c r="J55" s="79">
        <v>4</v>
      </c>
      <c r="K55" s="79">
        <v>5</v>
      </c>
      <c r="L55" s="79">
        <v>5</v>
      </c>
      <c r="M55" s="82">
        <v>2</v>
      </c>
      <c r="N55" s="113">
        <f t="shared" si="2"/>
        <v>3.8333333333333335</v>
      </c>
      <c r="O55" s="125"/>
      <c r="P55" s="81" t="s">
        <v>54</v>
      </c>
      <c r="Q55" s="11"/>
      <c r="R55" s="11"/>
      <c r="S55" s="11"/>
      <c r="T55" s="11"/>
    </row>
    <row r="56" spans="1:20" ht="14.25" customHeight="1" x14ac:dyDescent="0.75">
      <c r="A56" s="64" t="s">
        <v>87</v>
      </c>
      <c r="B56" s="80">
        <v>3</v>
      </c>
      <c r="C56" s="79">
        <v>5</v>
      </c>
      <c r="D56" s="79">
        <v>5</v>
      </c>
      <c r="E56" s="82">
        <v>2</v>
      </c>
      <c r="F56" s="79">
        <v>5</v>
      </c>
      <c r="G56" s="79">
        <v>5</v>
      </c>
      <c r="H56" s="79">
        <v>4</v>
      </c>
      <c r="I56" s="79">
        <v>4</v>
      </c>
      <c r="J56" s="79">
        <v>5</v>
      </c>
      <c r="K56" s="79">
        <v>5</v>
      </c>
      <c r="L56" s="80">
        <v>3</v>
      </c>
      <c r="M56" s="79">
        <v>5</v>
      </c>
      <c r="N56" s="113">
        <f t="shared" si="2"/>
        <v>4.25</v>
      </c>
      <c r="O56" s="125"/>
      <c r="P56" s="81" t="s">
        <v>54</v>
      </c>
      <c r="Q56" s="11"/>
      <c r="R56" s="11"/>
      <c r="S56" s="11"/>
      <c r="T56" s="11"/>
    </row>
    <row r="57" spans="1:20" ht="14.25" customHeight="1" thickBot="1" x14ac:dyDescent="0.9">
      <c r="A57" s="66" t="s">
        <v>88</v>
      </c>
      <c r="B57" s="84">
        <v>3</v>
      </c>
      <c r="C57" s="83">
        <v>4</v>
      </c>
      <c r="D57" s="83">
        <v>5</v>
      </c>
      <c r="E57" s="83">
        <v>5</v>
      </c>
      <c r="F57" s="85">
        <v>2</v>
      </c>
      <c r="G57" s="83">
        <v>5</v>
      </c>
      <c r="H57" s="83">
        <v>5</v>
      </c>
      <c r="I57" s="84">
        <v>3</v>
      </c>
      <c r="J57" s="83">
        <v>5</v>
      </c>
      <c r="K57" s="84">
        <v>3</v>
      </c>
      <c r="L57" s="85">
        <v>2</v>
      </c>
      <c r="M57" s="83">
        <v>5</v>
      </c>
      <c r="N57" s="114">
        <f t="shared" si="2"/>
        <v>3.9166666666666665</v>
      </c>
      <c r="O57" s="126"/>
      <c r="P57" s="86" t="s">
        <v>54</v>
      </c>
      <c r="Q57" s="11"/>
      <c r="R57" s="11"/>
      <c r="S57" s="11"/>
      <c r="T57" s="11"/>
    </row>
    <row r="58" spans="1:20" ht="14.25" customHeight="1" thickBot="1" x14ac:dyDescent="0.9">
      <c r="A58" s="54" t="s">
        <v>89</v>
      </c>
      <c r="B58" s="68">
        <f t="shared" ref="B58:M58" si="8">AVERAGE(B59:B63)</f>
        <v>4.2</v>
      </c>
      <c r="C58" s="68">
        <f t="shared" si="8"/>
        <v>3.6</v>
      </c>
      <c r="D58" s="68">
        <f t="shared" si="8"/>
        <v>2.8</v>
      </c>
      <c r="E58" s="68">
        <f t="shared" si="8"/>
        <v>4.4000000000000004</v>
      </c>
      <c r="F58" s="68">
        <f t="shared" si="8"/>
        <v>3.6</v>
      </c>
      <c r="G58" s="68">
        <f t="shared" si="8"/>
        <v>4</v>
      </c>
      <c r="H58" s="68">
        <f t="shared" si="8"/>
        <v>4.2</v>
      </c>
      <c r="I58" s="68">
        <f t="shared" si="8"/>
        <v>4</v>
      </c>
      <c r="J58" s="68">
        <f t="shared" si="8"/>
        <v>4.4000000000000004</v>
      </c>
      <c r="K58" s="68">
        <f t="shared" si="8"/>
        <v>4.2</v>
      </c>
      <c r="L58" s="68">
        <f t="shared" si="8"/>
        <v>3.6</v>
      </c>
      <c r="M58" s="68">
        <f t="shared" si="8"/>
        <v>4</v>
      </c>
      <c r="N58" s="108">
        <f t="shared" si="2"/>
        <v>3.9166666666666674</v>
      </c>
      <c r="O58" s="123"/>
      <c r="P58" s="74" t="s">
        <v>52</v>
      </c>
      <c r="Q58" s="11"/>
      <c r="R58" s="11"/>
      <c r="S58" s="11"/>
      <c r="T58" s="11"/>
    </row>
    <row r="59" spans="1:20" ht="14.25" customHeight="1" x14ac:dyDescent="0.75">
      <c r="A59" s="62" t="s">
        <v>90</v>
      </c>
      <c r="B59" s="75">
        <v>4</v>
      </c>
      <c r="C59" s="77">
        <v>2</v>
      </c>
      <c r="D59" s="77">
        <v>2</v>
      </c>
      <c r="E59" s="75">
        <v>4</v>
      </c>
      <c r="F59" s="75">
        <v>5</v>
      </c>
      <c r="G59" s="75">
        <v>4</v>
      </c>
      <c r="H59" s="75">
        <v>4</v>
      </c>
      <c r="I59" s="77">
        <v>2</v>
      </c>
      <c r="J59" s="75">
        <v>5</v>
      </c>
      <c r="K59" s="75">
        <v>5</v>
      </c>
      <c r="L59" s="77">
        <v>2</v>
      </c>
      <c r="M59" s="75">
        <v>5</v>
      </c>
      <c r="N59" s="112">
        <f t="shared" si="2"/>
        <v>3.6666666666666665</v>
      </c>
      <c r="O59" s="124"/>
      <c r="P59" s="78" t="s">
        <v>54</v>
      </c>
      <c r="Q59" s="11"/>
      <c r="R59" s="11"/>
      <c r="S59" s="11"/>
      <c r="T59" s="11"/>
    </row>
    <row r="60" spans="1:20" ht="14.25" customHeight="1" x14ac:dyDescent="0.75">
      <c r="A60" s="64" t="s">
        <v>91</v>
      </c>
      <c r="B60" s="79">
        <v>4</v>
      </c>
      <c r="C60" s="79">
        <v>5</v>
      </c>
      <c r="D60" s="80">
        <v>3</v>
      </c>
      <c r="E60" s="79">
        <v>5</v>
      </c>
      <c r="F60" s="80">
        <v>3</v>
      </c>
      <c r="G60" s="79">
        <v>4</v>
      </c>
      <c r="H60" s="79">
        <v>5</v>
      </c>
      <c r="I60" s="79">
        <v>5</v>
      </c>
      <c r="J60" s="79">
        <v>4</v>
      </c>
      <c r="K60" s="79">
        <v>4</v>
      </c>
      <c r="L60" s="80">
        <v>3</v>
      </c>
      <c r="M60" s="82">
        <v>2</v>
      </c>
      <c r="N60" s="113">
        <f t="shared" si="2"/>
        <v>3.9166666666666665</v>
      </c>
      <c r="O60" s="125"/>
      <c r="P60" s="81" t="s">
        <v>54</v>
      </c>
      <c r="Q60" s="11"/>
      <c r="R60" s="11"/>
      <c r="S60" s="11"/>
      <c r="T60" s="11"/>
    </row>
    <row r="61" spans="1:20" ht="14.25" customHeight="1" x14ac:dyDescent="0.75">
      <c r="A61" s="64" t="s">
        <v>92</v>
      </c>
      <c r="B61" s="79">
        <v>4</v>
      </c>
      <c r="C61" s="79">
        <v>5</v>
      </c>
      <c r="D61" s="80">
        <v>3</v>
      </c>
      <c r="E61" s="79">
        <v>5</v>
      </c>
      <c r="F61" s="79">
        <v>5</v>
      </c>
      <c r="G61" s="79">
        <v>4</v>
      </c>
      <c r="H61" s="79">
        <v>5</v>
      </c>
      <c r="I61" s="79">
        <v>4</v>
      </c>
      <c r="J61" s="80">
        <v>3</v>
      </c>
      <c r="K61" s="79">
        <v>5</v>
      </c>
      <c r="L61" s="80">
        <v>3</v>
      </c>
      <c r="M61" s="79">
        <v>4</v>
      </c>
      <c r="N61" s="113">
        <f t="shared" si="2"/>
        <v>4.166666666666667</v>
      </c>
      <c r="O61" s="125"/>
      <c r="P61" s="81" t="s">
        <v>54</v>
      </c>
      <c r="Q61" s="11"/>
      <c r="R61" s="11"/>
      <c r="S61" s="11"/>
      <c r="T61" s="11"/>
    </row>
    <row r="62" spans="1:20" ht="14.25" customHeight="1" x14ac:dyDescent="0.75">
      <c r="A62" s="64" t="s">
        <v>93</v>
      </c>
      <c r="B62" s="79">
        <v>4</v>
      </c>
      <c r="C62" s="79">
        <v>4</v>
      </c>
      <c r="D62" s="79">
        <v>4</v>
      </c>
      <c r="E62" s="79">
        <v>4</v>
      </c>
      <c r="F62" s="82">
        <v>2</v>
      </c>
      <c r="G62" s="80">
        <v>3</v>
      </c>
      <c r="H62" s="80">
        <v>3</v>
      </c>
      <c r="I62" s="79">
        <v>5</v>
      </c>
      <c r="J62" s="79">
        <v>5</v>
      </c>
      <c r="K62" s="80">
        <v>3</v>
      </c>
      <c r="L62" s="79">
        <v>5</v>
      </c>
      <c r="M62" s="79">
        <v>5</v>
      </c>
      <c r="N62" s="113">
        <f t="shared" si="2"/>
        <v>3.9166666666666665</v>
      </c>
      <c r="O62" s="125"/>
      <c r="P62" s="81" t="s">
        <v>54</v>
      </c>
      <c r="Q62" s="11"/>
      <c r="R62" s="11"/>
      <c r="S62" s="11"/>
      <c r="T62" s="11"/>
    </row>
    <row r="63" spans="1:20" ht="14.25" customHeight="1" thickBot="1" x14ac:dyDescent="0.9">
      <c r="A63" s="66" t="s">
        <v>94</v>
      </c>
      <c r="B63" s="83">
        <v>5</v>
      </c>
      <c r="C63" s="85">
        <v>2</v>
      </c>
      <c r="D63" s="85">
        <v>2</v>
      </c>
      <c r="E63" s="83">
        <v>4</v>
      </c>
      <c r="F63" s="84">
        <v>3</v>
      </c>
      <c r="G63" s="83">
        <v>5</v>
      </c>
      <c r="H63" s="83">
        <v>4</v>
      </c>
      <c r="I63" s="83">
        <v>4</v>
      </c>
      <c r="J63" s="83">
        <v>5</v>
      </c>
      <c r="K63" s="83">
        <v>4</v>
      </c>
      <c r="L63" s="83">
        <v>5</v>
      </c>
      <c r="M63" s="83">
        <v>4</v>
      </c>
      <c r="N63" s="114">
        <f t="shared" si="2"/>
        <v>3.9166666666666665</v>
      </c>
      <c r="O63" s="126"/>
      <c r="P63" s="86" t="s">
        <v>54</v>
      </c>
      <c r="Q63" s="11"/>
      <c r="R63" s="11"/>
      <c r="S63" s="11"/>
      <c r="T63" s="11"/>
    </row>
    <row r="64" spans="1:20" ht="14.25" customHeight="1" thickBot="1" x14ac:dyDescent="0.9">
      <c r="A64" s="54" t="s">
        <v>95</v>
      </c>
      <c r="B64" s="68">
        <f t="shared" ref="B64:M64" si="9">AVERAGE(B65:B69)</f>
        <v>3.2</v>
      </c>
      <c r="C64" s="68">
        <f t="shared" si="9"/>
        <v>3.4</v>
      </c>
      <c r="D64" s="68">
        <f t="shared" si="9"/>
        <v>4.4000000000000004</v>
      </c>
      <c r="E64" s="68">
        <f t="shared" si="9"/>
        <v>2.8</v>
      </c>
      <c r="F64" s="68">
        <f t="shared" si="9"/>
        <v>3.8</v>
      </c>
      <c r="G64" s="68">
        <f t="shared" si="9"/>
        <v>3.8</v>
      </c>
      <c r="H64" s="68">
        <f t="shared" si="9"/>
        <v>3.4</v>
      </c>
      <c r="I64" s="68">
        <f t="shared" si="9"/>
        <v>3.8</v>
      </c>
      <c r="J64" s="68">
        <f t="shared" si="9"/>
        <v>3.6</v>
      </c>
      <c r="K64" s="68">
        <f t="shared" si="9"/>
        <v>3</v>
      </c>
      <c r="L64" s="68">
        <f t="shared" si="9"/>
        <v>3.2</v>
      </c>
      <c r="M64" s="68">
        <f t="shared" si="9"/>
        <v>3</v>
      </c>
      <c r="N64" s="108">
        <f t="shared" si="2"/>
        <v>3.4500000000000006</v>
      </c>
      <c r="O64" s="123"/>
      <c r="P64" s="74" t="s">
        <v>52</v>
      </c>
      <c r="Q64" s="11"/>
      <c r="R64" s="11"/>
      <c r="S64" s="11"/>
      <c r="T64" s="11"/>
    </row>
    <row r="65" spans="1:20" ht="14.25" customHeight="1" x14ac:dyDescent="0.75">
      <c r="A65" s="62" t="s">
        <v>96</v>
      </c>
      <c r="B65" s="75">
        <v>4</v>
      </c>
      <c r="C65" s="75">
        <v>5</v>
      </c>
      <c r="D65" s="75">
        <v>4</v>
      </c>
      <c r="E65" s="75">
        <v>4</v>
      </c>
      <c r="F65" s="75">
        <v>4</v>
      </c>
      <c r="G65" s="76">
        <v>3</v>
      </c>
      <c r="H65" s="76">
        <v>3</v>
      </c>
      <c r="I65" s="75">
        <v>4</v>
      </c>
      <c r="J65" s="77">
        <v>2</v>
      </c>
      <c r="K65" s="76">
        <v>3</v>
      </c>
      <c r="L65" s="76">
        <v>3</v>
      </c>
      <c r="M65" s="76">
        <v>3</v>
      </c>
      <c r="N65" s="112">
        <f t="shared" si="2"/>
        <v>3.5</v>
      </c>
      <c r="O65" s="124"/>
      <c r="P65" s="78" t="s">
        <v>54</v>
      </c>
      <c r="Q65" s="11"/>
      <c r="R65" s="11"/>
      <c r="S65" s="11"/>
      <c r="T65" s="11"/>
    </row>
    <row r="66" spans="1:20" ht="14.25" customHeight="1" x14ac:dyDescent="0.75">
      <c r="A66" s="64" t="s">
        <v>97</v>
      </c>
      <c r="B66" s="79">
        <v>5</v>
      </c>
      <c r="C66" s="79">
        <v>4</v>
      </c>
      <c r="D66" s="79">
        <v>4</v>
      </c>
      <c r="E66" s="82">
        <v>2</v>
      </c>
      <c r="F66" s="80">
        <v>3</v>
      </c>
      <c r="G66" s="79">
        <v>4</v>
      </c>
      <c r="H66" s="79">
        <v>4</v>
      </c>
      <c r="I66" s="80">
        <v>3</v>
      </c>
      <c r="J66" s="79">
        <v>4</v>
      </c>
      <c r="K66" s="82">
        <v>2</v>
      </c>
      <c r="L66" s="80">
        <v>3</v>
      </c>
      <c r="M66" s="79">
        <v>4</v>
      </c>
      <c r="N66" s="113">
        <f t="shared" si="2"/>
        <v>3.5</v>
      </c>
      <c r="O66" s="125"/>
      <c r="P66" s="81" t="s">
        <v>54</v>
      </c>
      <c r="Q66" s="11"/>
      <c r="R66" s="11"/>
      <c r="S66" s="11"/>
      <c r="T66" s="11"/>
    </row>
    <row r="67" spans="1:20" ht="14.25" customHeight="1" x14ac:dyDescent="0.75">
      <c r="A67" s="64" t="s">
        <v>98</v>
      </c>
      <c r="B67" s="82">
        <v>2</v>
      </c>
      <c r="C67" s="82">
        <v>2</v>
      </c>
      <c r="D67" s="79">
        <v>4</v>
      </c>
      <c r="E67" s="80">
        <v>3</v>
      </c>
      <c r="F67" s="79">
        <v>5</v>
      </c>
      <c r="G67" s="82">
        <v>2</v>
      </c>
      <c r="H67" s="79">
        <v>4</v>
      </c>
      <c r="I67" s="79">
        <v>5</v>
      </c>
      <c r="J67" s="79">
        <v>5</v>
      </c>
      <c r="K67" s="79">
        <v>5</v>
      </c>
      <c r="L67" s="79">
        <v>4</v>
      </c>
      <c r="M67" s="80">
        <v>3</v>
      </c>
      <c r="N67" s="113">
        <f t="shared" si="2"/>
        <v>3.6666666666666665</v>
      </c>
      <c r="O67" s="125"/>
      <c r="P67" s="81" t="s">
        <v>54</v>
      </c>
      <c r="Q67" s="11"/>
      <c r="R67" s="11"/>
      <c r="S67" s="11"/>
      <c r="T67" s="11"/>
    </row>
    <row r="68" spans="1:20" ht="14.25" customHeight="1" x14ac:dyDescent="0.75">
      <c r="A68" s="64" t="s">
        <v>99</v>
      </c>
      <c r="B68" s="82">
        <v>2</v>
      </c>
      <c r="C68" s="79">
        <v>4</v>
      </c>
      <c r="D68" s="79">
        <v>5</v>
      </c>
      <c r="E68" s="82">
        <v>2</v>
      </c>
      <c r="F68" s="82">
        <v>2</v>
      </c>
      <c r="G68" s="79">
        <v>5</v>
      </c>
      <c r="H68" s="82">
        <v>2</v>
      </c>
      <c r="I68" s="82">
        <v>2</v>
      </c>
      <c r="J68" s="80">
        <v>3</v>
      </c>
      <c r="K68" s="80">
        <v>3</v>
      </c>
      <c r="L68" s="79">
        <v>4</v>
      </c>
      <c r="M68" s="82">
        <v>2</v>
      </c>
      <c r="N68" s="113">
        <f t="shared" si="2"/>
        <v>3</v>
      </c>
      <c r="O68" s="125"/>
      <c r="P68" s="81" t="s">
        <v>54</v>
      </c>
      <c r="Q68" s="11"/>
      <c r="R68" s="11"/>
      <c r="S68" s="11"/>
      <c r="T68" s="11"/>
    </row>
    <row r="69" spans="1:20" ht="14.25" customHeight="1" thickBot="1" x14ac:dyDescent="0.9">
      <c r="A69" s="66" t="s">
        <v>100</v>
      </c>
      <c r="B69" s="84">
        <v>3</v>
      </c>
      <c r="C69" s="85">
        <v>2</v>
      </c>
      <c r="D69" s="83">
        <v>5</v>
      </c>
      <c r="E69" s="84">
        <v>3</v>
      </c>
      <c r="F69" s="83">
        <v>5</v>
      </c>
      <c r="G69" s="83">
        <v>5</v>
      </c>
      <c r="H69" s="83">
        <v>4</v>
      </c>
      <c r="I69" s="83">
        <v>5</v>
      </c>
      <c r="J69" s="83">
        <v>4</v>
      </c>
      <c r="K69" s="85">
        <v>2</v>
      </c>
      <c r="L69" s="85">
        <v>2</v>
      </c>
      <c r="M69" s="84">
        <v>3</v>
      </c>
      <c r="N69" s="114">
        <f t="shared" si="2"/>
        <v>3.5833333333333335</v>
      </c>
      <c r="O69" s="126"/>
      <c r="P69" s="86" t="s">
        <v>54</v>
      </c>
      <c r="Q69" s="11"/>
      <c r="R69" s="11"/>
      <c r="S69" s="11"/>
      <c r="T69" s="11"/>
    </row>
    <row r="70" spans="1:20" ht="14.25" customHeight="1" thickBot="1" x14ac:dyDescent="0.9">
      <c r="A70" s="54" t="s">
        <v>101</v>
      </c>
      <c r="B70" s="87">
        <f t="shared" ref="B70:M70" si="10">AVERAGE(B71:B75)</f>
        <v>3.4</v>
      </c>
      <c r="C70" s="88">
        <f t="shared" si="10"/>
        <v>4</v>
      </c>
      <c r="D70" s="89">
        <f t="shared" si="10"/>
        <v>3</v>
      </c>
      <c r="E70" s="90">
        <f t="shared" si="10"/>
        <v>3</v>
      </c>
      <c r="F70" s="88">
        <f t="shared" si="10"/>
        <v>3.8</v>
      </c>
      <c r="G70" s="91">
        <f t="shared" si="10"/>
        <v>3.6</v>
      </c>
      <c r="H70" s="87">
        <f t="shared" si="10"/>
        <v>3.2</v>
      </c>
      <c r="I70" s="91">
        <f t="shared" si="10"/>
        <v>2.8</v>
      </c>
      <c r="J70" s="90">
        <f t="shared" si="10"/>
        <v>4.4000000000000004</v>
      </c>
      <c r="K70" s="87">
        <f t="shared" si="10"/>
        <v>3.6</v>
      </c>
      <c r="L70" s="88">
        <f t="shared" si="10"/>
        <v>4.2</v>
      </c>
      <c r="M70" s="91">
        <f t="shared" si="10"/>
        <v>3.4</v>
      </c>
      <c r="N70" s="108">
        <f t="shared" si="2"/>
        <v>3.5333333333333337</v>
      </c>
      <c r="O70" s="123"/>
      <c r="P70" s="74" t="s">
        <v>52</v>
      </c>
      <c r="Q70" s="11"/>
      <c r="R70" s="11"/>
      <c r="S70" s="11"/>
      <c r="T70" s="11"/>
    </row>
    <row r="71" spans="1:20" ht="14.25" customHeight="1" x14ac:dyDescent="0.75">
      <c r="A71" s="62" t="s">
        <v>102</v>
      </c>
      <c r="B71" s="92">
        <v>3</v>
      </c>
      <c r="C71" s="92">
        <v>4</v>
      </c>
      <c r="D71" s="92">
        <v>2</v>
      </c>
      <c r="E71" s="92">
        <v>3</v>
      </c>
      <c r="F71" s="92">
        <v>3</v>
      </c>
      <c r="G71" s="92">
        <v>3</v>
      </c>
      <c r="H71" s="92">
        <v>3</v>
      </c>
      <c r="I71" s="92">
        <v>2</v>
      </c>
      <c r="J71" s="92">
        <v>5</v>
      </c>
      <c r="K71" s="92">
        <v>5</v>
      </c>
      <c r="L71" s="92">
        <v>5</v>
      </c>
      <c r="M71" s="92">
        <v>4</v>
      </c>
      <c r="N71" s="112">
        <f t="shared" si="2"/>
        <v>3.5</v>
      </c>
      <c r="O71" s="124"/>
      <c r="P71" s="78" t="s">
        <v>54</v>
      </c>
      <c r="Q71" s="11"/>
      <c r="R71" s="11"/>
      <c r="S71" s="11"/>
      <c r="T71" s="11"/>
    </row>
    <row r="72" spans="1:20" ht="14.25" customHeight="1" x14ac:dyDescent="0.75">
      <c r="A72" s="64" t="s">
        <v>103</v>
      </c>
      <c r="B72" s="93">
        <v>2</v>
      </c>
      <c r="C72" s="93">
        <v>3</v>
      </c>
      <c r="D72" s="93">
        <v>4</v>
      </c>
      <c r="E72" s="93">
        <v>4</v>
      </c>
      <c r="F72" s="93">
        <v>5</v>
      </c>
      <c r="G72" s="93">
        <v>2</v>
      </c>
      <c r="H72" s="93">
        <v>4</v>
      </c>
      <c r="I72" s="93">
        <v>3</v>
      </c>
      <c r="J72" s="93">
        <v>5</v>
      </c>
      <c r="K72" s="93">
        <v>2</v>
      </c>
      <c r="L72" s="93">
        <v>3</v>
      </c>
      <c r="M72" s="93">
        <v>3</v>
      </c>
      <c r="N72" s="113">
        <f t="shared" si="2"/>
        <v>3.3333333333333335</v>
      </c>
      <c r="O72" s="125"/>
      <c r="P72" s="81" t="s">
        <v>54</v>
      </c>
      <c r="Q72" s="11"/>
      <c r="R72" s="11"/>
      <c r="S72" s="11"/>
      <c r="T72" s="11"/>
    </row>
    <row r="73" spans="1:20" ht="14.25" customHeight="1" x14ac:dyDescent="0.75">
      <c r="A73" s="64" t="s">
        <v>104</v>
      </c>
      <c r="B73" s="93">
        <v>4</v>
      </c>
      <c r="C73" s="93">
        <v>3</v>
      </c>
      <c r="D73" s="93">
        <v>2</v>
      </c>
      <c r="E73" s="93">
        <v>2</v>
      </c>
      <c r="F73" s="93">
        <v>3</v>
      </c>
      <c r="G73" s="93">
        <v>4</v>
      </c>
      <c r="H73" s="93">
        <v>5</v>
      </c>
      <c r="I73" s="93">
        <v>2</v>
      </c>
      <c r="J73" s="93">
        <v>5</v>
      </c>
      <c r="K73" s="93">
        <v>4</v>
      </c>
      <c r="L73" s="93">
        <v>5</v>
      </c>
      <c r="M73" s="93">
        <v>4</v>
      </c>
      <c r="N73" s="113">
        <f t="shared" si="2"/>
        <v>3.5833333333333335</v>
      </c>
      <c r="O73" s="125"/>
      <c r="P73" s="81" t="s">
        <v>54</v>
      </c>
      <c r="Q73" s="11"/>
      <c r="R73" s="11"/>
      <c r="S73" s="11"/>
      <c r="T73" s="11"/>
    </row>
    <row r="74" spans="1:20" ht="14.25" customHeight="1" x14ac:dyDescent="0.75">
      <c r="A74" s="64" t="s">
        <v>105</v>
      </c>
      <c r="B74" s="93">
        <v>5</v>
      </c>
      <c r="C74" s="93">
        <v>5</v>
      </c>
      <c r="D74" s="93">
        <v>2</v>
      </c>
      <c r="E74" s="93">
        <v>2</v>
      </c>
      <c r="F74" s="93">
        <v>5</v>
      </c>
      <c r="G74" s="93">
        <v>4</v>
      </c>
      <c r="H74" s="93">
        <v>2</v>
      </c>
      <c r="I74" s="93">
        <v>2</v>
      </c>
      <c r="J74" s="93">
        <v>3</v>
      </c>
      <c r="K74" s="93">
        <v>2</v>
      </c>
      <c r="L74" s="93">
        <v>4</v>
      </c>
      <c r="M74" s="93">
        <v>2</v>
      </c>
      <c r="N74" s="113">
        <f t="shared" si="2"/>
        <v>3.1666666666666665</v>
      </c>
      <c r="O74" s="125"/>
      <c r="P74" s="81" t="s">
        <v>54</v>
      </c>
      <c r="Q74" s="11"/>
      <c r="R74" s="11"/>
      <c r="S74" s="11"/>
      <c r="T74" s="11"/>
    </row>
    <row r="75" spans="1:20" ht="14.25" customHeight="1" thickBot="1" x14ac:dyDescent="0.9">
      <c r="A75" s="66" t="s">
        <v>106</v>
      </c>
      <c r="B75" s="94">
        <v>3</v>
      </c>
      <c r="C75" s="94">
        <v>5</v>
      </c>
      <c r="D75" s="94">
        <v>5</v>
      </c>
      <c r="E75" s="94">
        <v>4</v>
      </c>
      <c r="F75" s="94">
        <v>3</v>
      </c>
      <c r="G75" s="94">
        <v>5</v>
      </c>
      <c r="H75" s="94">
        <v>2</v>
      </c>
      <c r="I75" s="94">
        <v>5</v>
      </c>
      <c r="J75" s="94">
        <v>4</v>
      </c>
      <c r="K75" s="94">
        <v>5</v>
      </c>
      <c r="L75" s="94">
        <v>4</v>
      </c>
      <c r="M75" s="94">
        <v>4</v>
      </c>
      <c r="N75" s="114">
        <f t="shared" si="2"/>
        <v>4.083333333333333</v>
      </c>
      <c r="O75" s="126"/>
      <c r="P75" s="86" t="s">
        <v>54</v>
      </c>
      <c r="Q75" s="11"/>
      <c r="R75" s="11"/>
      <c r="S75" s="11"/>
      <c r="T75" s="11"/>
    </row>
    <row r="76" spans="1:20" ht="14.25" customHeight="1" thickBot="1" x14ac:dyDescent="0.9">
      <c r="A76" s="95" t="s">
        <v>107</v>
      </c>
      <c r="B76" s="96">
        <f t="shared" ref="B76:M76" si="11">AVERAGE(B77:B80)</f>
        <v>2.25</v>
      </c>
      <c r="C76" s="96">
        <f t="shared" si="11"/>
        <v>4.25</v>
      </c>
      <c r="D76" s="96">
        <f t="shared" si="11"/>
        <v>3.25</v>
      </c>
      <c r="E76" s="96">
        <f t="shared" si="11"/>
        <v>4.5</v>
      </c>
      <c r="F76" s="96">
        <f t="shared" si="11"/>
        <v>4.25</v>
      </c>
      <c r="G76" s="96">
        <f t="shared" si="11"/>
        <v>3</v>
      </c>
      <c r="H76" s="96">
        <f t="shared" si="11"/>
        <v>3.5</v>
      </c>
      <c r="I76" s="96">
        <f t="shared" si="11"/>
        <v>4.75</v>
      </c>
      <c r="J76" s="96">
        <f t="shared" si="11"/>
        <v>3.5</v>
      </c>
      <c r="K76" s="96">
        <f t="shared" si="11"/>
        <v>3.5</v>
      </c>
      <c r="L76" s="96">
        <f t="shared" si="11"/>
        <v>3.5</v>
      </c>
      <c r="M76" s="96">
        <f t="shared" si="11"/>
        <v>3.5</v>
      </c>
      <c r="N76" s="108">
        <f t="shared" si="2"/>
        <v>3.6458333333333335</v>
      </c>
      <c r="O76" s="123"/>
      <c r="P76" s="74" t="s">
        <v>52</v>
      </c>
      <c r="Q76" s="11"/>
      <c r="R76" s="11"/>
      <c r="S76" s="11"/>
      <c r="T76" s="11"/>
    </row>
    <row r="77" spans="1:20" ht="14.25" customHeight="1" x14ac:dyDescent="0.75">
      <c r="A77" s="62" t="s">
        <v>108</v>
      </c>
      <c r="B77" s="77">
        <v>2</v>
      </c>
      <c r="C77" s="76">
        <v>3</v>
      </c>
      <c r="D77" s="75">
        <v>4</v>
      </c>
      <c r="E77" s="75">
        <v>5</v>
      </c>
      <c r="F77" s="75">
        <v>5</v>
      </c>
      <c r="G77" s="75">
        <v>4</v>
      </c>
      <c r="H77" s="77">
        <v>2</v>
      </c>
      <c r="I77" s="75">
        <v>5</v>
      </c>
      <c r="J77" s="77">
        <v>2</v>
      </c>
      <c r="K77" s="75">
        <v>4</v>
      </c>
      <c r="L77" s="75">
        <v>4</v>
      </c>
      <c r="M77" s="75">
        <v>4</v>
      </c>
      <c r="N77" s="112">
        <f t="shared" si="2"/>
        <v>3.6666666666666665</v>
      </c>
      <c r="O77" s="124"/>
      <c r="P77" s="78" t="s">
        <v>54</v>
      </c>
      <c r="Q77" s="11"/>
      <c r="R77" s="11"/>
      <c r="S77" s="11"/>
      <c r="T77" s="11"/>
    </row>
    <row r="78" spans="1:20" ht="14.25" customHeight="1" x14ac:dyDescent="0.75">
      <c r="A78" s="64" t="s">
        <v>109</v>
      </c>
      <c r="B78" s="82">
        <v>2</v>
      </c>
      <c r="C78" s="79">
        <v>5</v>
      </c>
      <c r="D78" s="82">
        <v>2</v>
      </c>
      <c r="E78" s="79">
        <v>5</v>
      </c>
      <c r="F78" s="79">
        <v>5</v>
      </c>
      <c r="G78" s="82">
        <v>2</v>
      </c>
      <c r="H78" s="79">
        <v>4</v>
      </c>
      <c r="I78" s="79">
        <v>5</v>
      </c>
      <c r="J78" s="79">
        <v>5</v>
      </c>
      <c r="K78" s="82">
        <v>2</v>
      </c>
      <c r="L78" s="80">
        <v>3</v>
      </c>
      <c r="M78" s="79">
        <v>4</v>
      </c>
      <c r="N78" s="113">
        <f t="shared" si="2"/>
        <v>3.6666666666666665</v>
      </c>
      <c r="O78" s="125"/>
      <c r="P78" s="81" t="s">
        <v>54</v>
      </c>
      <c r="Q78" s="11"/>
      <c r="R78" s="11"/>
      <c r="S78" s="11"/>
      <c r="T78" s="11"/>
    </row>
    <row r="79" spans="1:20" ht="14.25" customHeight="1" x14ac:dyDescent="0.75">
      <c r="A79" s="64" t="s">
        <v>110</v>
      </c>
      <c r="B79" s="80">
        <v>3</v>
      </c>
      <c r="C79" s="79">
        <v>4</v>
      </c>
      <c r="D79" s="79">
        <v>5</v>
      </c>
      <c r="E79" s="79">
        <v>5</v>
      </c>
      <c r="F79" s="82">
        <v>2</v>
      </c>
      <c r="G79" s="82">
        <v>2</v>
      </c>
      <c r="H79" s="80">
        <v>3</v>
      </c>
      <c r="I79" s="79">
        <v>4</v>
      </c>
      <c r="J79" s="82">
        <v>2</v>
      </c>
      <c r="K79" s="79">
        <v>5</v>
      </c>
      <c r="L79" s="82">
        <v>2</v>
      </c>
      <c r="M79" s="80">
        <v>3</v>
      </c>
      <c r="N79" s="113">
        <f t="shared" si="2"/>
        <v>3.3333333333333335</v>
      </c>
      <c r="O79" s="125"/>
      <c r="P79" s="81" t="s">
        <v>54</v>
      </c>
      <c r="Q79" s="11"/>
      <c r="R79" s="11"/>
      <c r="S79" s="11"/>
      <c r="T79" s="11"/>
    </row>
    <row r="80" spans="1:20" ht="14.25" customHeight="1" thickBot="1" x14ac:dyDescent="0.9">
      <c r="A80" s="66" t="s">
        <v>111</v>
      </c>
      <c r="B80" s="85">
        <v>2</v>
      </c>
      <c r="C80" s="83">
        <v>5</v>
      </c>
      <c r="D80" s="85">
        <v>2</v>
      </c>
      <c r="E80" s="84">
        <v>3</v>
      </c>
      <c r="F80" s="83">
        <v>5</v>
      </c>
      <c r="G80" s="83">
        <v>4</v>
      </c>
      <c r="H80" s="83">
        <v>5</v>
      </c>
      <c r="I80" s="83">
        <v>5</v>
      </c>
      <c r="J80" s="83">
        <v>5</v>
      </c>
      <c r="K80" s="84">
        <v>3</v>
      </c>
      <c r="L80" s="83">
        <v>5</v>
      </c>
      <c r="M80" s="84">
        <v>3</v>
      </c>
      <c r="N80" s="114">
        <f t="shared" si="2"/>
        <v>3.9166666666666665</v>
      </c>
      <c r="O80" s="126"/>
      <c r="P80" s="86" t="s">
        <v>54</v>
      </c>
      <c r="Q80" s="11"/>
      <c r="R80" s="11"/>
      <c r="S80" s="11"/>
      <c r="T80" s="11"/>
    </row>
    <row r="81" spans="1:20" ht="14.25" customHeight="1" thickBot="1" x14ac:dyDescent="0.9">
      <c r="A81" s="54" t="s">
        <v>112</v>
      </c>
      <c r="B81" s="87">
        <f t="shared" ref="B81:M81" si="12">AVERAGE(B82:B86)</f>
        <v>4.2</v>
      </c>
      <c r="C81" s="88">
        <f t="shared" si="12"/>
        <v>3.6</v>
      </c>
      <c r="D81" s="89">
        <f t="shared" si="12"/>
        <v>3.8</v>
      </c>
      <c r="E81" s="90">
        <f t="shared" si="12"/>
        <v>3.4</v>
      </c>
      <c r="F81" s="88">
        <f t="shared" si="12"/>
        <v>3.6</v>
      </c>
      <c r="G81" s="91">
        <f t="shared" si="12"/>
        <v>4.5999999999999996</v>
      </c>
      <c r="H81" s="87">
        <f t="shared" si="12"/>
        <v>3.8</v>
      </c>
      <c r="I81" s="91">
        <f t="shared" si="12"/>
        <v>3.2</v>
      </c>
      <c r="J81" s="90">
        <f t="shared" si="12"/>
        <v>3</v>
      </c>
      <c r="K81" s="87">
        <f t="shared" si="12"/>
        <v>4.2</v>
      </c>
      <c r="L81" s="88">
        <f t="shared" si="12"/>
        <v>4</v>
      </c>
      <c r="M81" s="91">
        <f t="shared" si="12"/>
        <v>3.6</v>
      </c>
      <c r="N81" s="108">
        <f t="shared" si="2"/>
        <v>3.7500000000000004</v>
      </c>
      <c r="O81" s="123"/>
      <c r="P81" s="74" t="s">
        <v>52</v>
      </c>
      <c r="Q81" s="11"/>
      <c r="R81" s="11"/>
      <c r="S81" s="11"/>
      <c r="T81" s="11"/>
    </row>
    <row r="82" spans="1:20" ht="14.25" customHeight="1" x14ac:dyDescent="0.75">
      <c r="A82" s="62" t="s">
        <v>113</v>
      </c>
      <c r="B82" s="75">
        <v>5</v>
      </c>
      <c r="C82" s="76">
        <v>3</v>
      </c>
      <c r="D82" s="76">
        <v>3</v>
      </c>
      <c r="E82" s="77">
        <v>2</v>
      </c>
      <c r="F82" s="75">
        <v>4</v>
      </c>
      <c r="G82" s="75">
        <v>5</v>
      </c>
      <c r="H82" s="75">
        <v>4</v>
      </c>
      <c r="I82" s="77">
        <v>2</v>
      </c>
      <c r="J82" s="75">
        <v>4</v>
      </c>
      <c r="K82" s="75">
        <v>4</v>
      </c>
      <c r="L82" s="75">
        <v>5</v>
      </c>
      <c r="M82" s="76">
        <v>3</v>
      </c>
      <c r="N82" s="112">
        <f t="shared" si="2"/>
        <v>3.6666666666666665</v>
      </c>
      <c r="O82" s="124"/>
      <c r="P82" s="78" t="s">
        <v>54</v>
      </c>
      <c r="Q82" s="11"/>
      <c r="R82" s="11"/>
      <c r="S82" s="11"/>
      <c r="T82" s="11"/>
    </row>
    <row r="83" spans="1:20" ht="14.25" customHeight="1" x14ac:dyDescent="0.75">
      <c r="A83" s="64" t="s">
        <v>114</v>
      </c>
      <c r="B83" s="79">
        <v>5</v>
      </c>
      <c r="C83" s="79">
        <v>5</v>
      </c>
      <c r="D83" s="79">
        <v>4</v>
      </c>
      <c r="E83" s="79">
        <v>4</v>
      </c>
      <c r="F83" s="79">
        <v>5</v>
      </c>
      <c r="G83" s="79">
        <v>5</v>
      </c>
      <c r="H83" s="80">
        <v>3</v>
      </c>
      <c r="I83" s="80">
        <v>3</v>
      </c>
      <c r="J83" s="79">
        <v>5</v>
      </c>
      <c r="K83" s="80">
        <v>3</v>
      </c>
      <c r="L83" s="79">
        <v>5</v>
      </c>
      <c r="M83" s="82">
        <v>2</v>
      </c>
      <c r="N83" s="113">
        <f t="shared" si="2"/>
        <v>4.083333333333333</v>
      </c>
      <c r="O83" s="125"/>
      <c r="P83" s="81" t="s">
        <v>54</v>
      </c>
      <c r="Q83" s="11"/>
      <c r="R83" s="11"/>
      <c r="S83" s="11"/>
      <c r="T83" s="11"/>
    </row>
    <row r="84" spans="1:20" ht="14.25" customHeight="1" x14ac:dyDescent="0.75">
      <c r="A84" s="64" t="s">
        <v>115</v>
      </c>
      <c r="B84" s="79">
        <v>4</v>
      </c>
      <c r="C84" s="79">
        <v>5</v>
      </c>
      <c r="D84" s="79">
        <v>5</v>
      </c>
      <c r="E84" s="79">
        <v>5</v>
      </c>
      <c r="F84" s="80">
        <v>3</v>
      </c>
      <c r="G84" s="79">
        <v>5</v>
      </c>
      <c r="H84" s="80">
        <v>3</v>
      </c>
      <c r="I84" s="79">
        <v>4</v>
      </c>
      <c r="J84" s="82">
        <v>2</v>
      </c>
      <c r="K84" s="79">
        <v>5</v>
      </c>
      <c r="L84" s="82">
        <v>2</v>
      </c>
      <c r="M84" s="79">
        <v>5</v>
      </c>
      <c r="N84" s="113">
        <f t="shared" si="2"/>
        <v>4</v>
      </c>
      <c r="O84" s="125"/>
      <c r="P84" s="81" t="s">
        <v>54</v>
      </c>
      <c r="Q84" s="11"/>
      <c r="R84" s="11"/>
      <c r="S84" s="11"/>
      <c r="T84" s="11"/>
    </row>
    <row r="85" spans="1:20" ht="14.25" customHeight="1" x14ac:dyDescent="0.75">
      <c r="A85" s="64" t="s">
        <v>116</v>
      </c>
      <c r="B85" s="82">
        <v>2</v>
      </c>
      <c r="C85" s="80">
        <v>3</v>
      </c>
      <c r="D85" s="79">
        <v>5</v>
      </c>
      <c r="E85" s="80">
        <v>3</v>
      </c>
      <c r="F85" s="82">
        <v>2</v>
      </c>
      <c r="G85" s="79">
        <v>5</v>
      </c>
      <c r="H85" s="79">
        <v>4</v>
      </c>
      <c r="I85" s="79">
        <v>5</v>
      </c>
      <c r="J85" s="82">
        <v>2</v>
      </c>
      <c r="K85" s="79">
        <v>4</v>
      </c>
      <c r="L85" s="79">
        <v>5</v>
      </c>
      <c r="M85" s="79">
        <v>4</v>
      </c>
      <c r="N85" s="113">
        <f t="shared" si="2"/>
        <v>3.6666666666666665</v>
      </c>
      <c r="O85" s="125"/>
      <c r="P85" s="81" t="s">
        <v>54</v>
      </c>
      <c r="Q85" s="11"/>
      <c r="R85" s="11"/>
      <c r="S85" s="11"/>
      <c r="T85" s="11"/>
    </row>
    <row r="86" spans="1:20" ht="14.25" customHeight="1" thickBot="1" x14ac:dyDescent="0.9">
      <c r="A86" s="66" t="s">
        <v>117</v>
      </c>
      <c r="B86" s="83">
        <v>5</v>
      </c>
      <c r="C86" s="85">
        <v>2</v>
      </c>
      <c r="D86" s="85">
        <v>2</v>
      </c>
      <c r="E86" s="84">
        <v>3</v>
      </c>
      <c r="F86" s="83">
        <v>4</v>
      </c>
      <c r="G86" s="84">
        <v>3</v>
      </c>
      <c r="H86" s="83">
        <v>5</v>
      </c>
      <c r="I86" s="85">
        <v>2</v>
      </c>
      <c r="J86" s="85">
        <v>2</v>
      </c>
      <c r="K86" s="83">
        <v>5</v>
      </c>
      <c r="L86" s="84">
        <v>3</v>
      </c>
      <c r="M86" s="83">
        <v>4</v>
      </c>
      <c r="N86" s="114">
        <f t="shared" si="2"/>
        <v>3.3333333333333335</v>
      </c>
      <c r="O86" s="126"/>
      <c r="P86" s="86" t="s">
        <v>54</v>
      </c>
      <c r="Q86" s="11"/>
      <c r="R86" s="11"/>
      <c r="S86" s="11"/>
      <c r="T86" s="11"/>
    </row>
    <row r="87" spans="1:20" ht="14.25" customHeight="1" thickBot="1" x14ac:dyDescent="0.9">
      <c r="A87" s="95" t="s">
        <v>118</v>
      </c>
      <c r="B87" s="97">
        <f t="shared" ref="B87:M87" si="13">AVERAGE(B88:B92)</f>
        <v>2.8</v>
      </c>
      <c r="C87" s="98">
        <f t="shared" si="13"/>
        <v>2.8</v>
      </c>
      <c r="D87" s="99">
        <f t="shared" si="13"/>
        <v>3.8</v>
      </c>
      <c r="E87" s="100">
        <f t="shared" si="13"/>
        <v>3.4</v>
      </c>
      <c r="F87" s="98">
        <f t="shared" si="13"/>
        <v>4.2</v>
      </c>
      <c r="G87" s="101">
        <f t="shared" si="13"/>
        <v>3.6</v>
      </c>
      <c r="H87" s="97">
        <f t="shared" si="13"/>
        <v>4.2</v>
      </c>
      <c r="I87" s="101">
        <f t="shared" si="13"/>
        <v>4</v>
      </c>
      <c r="J87" s="100">
        <f t="shared" si="13"/>
        <v>3.8</v>
      </c>
      <c r="K87" s="97">
        <f t="shared" si="13"/>
        <v>3.2</v>
      </c>
      <c r="L87" s="98">
        <f t="shared" si="13"/>
        <v>3.8</v>
      </c>
      <c r="M87" s="101">
        <f t="shared" si="13"/>
        <v>4</v>
      </c>
      <c r="N87" s="107">
        <f t="shared" si="2"/>
        <v>3.6333333333333333</v>
      </c>
      <c r="O87" s="122"/>
      <c r="P87" s="74" t="s">
        <v>52</v>
      </c>
      <c r="Q87" s="11"/>
      <c r="R87" s="11"/>
      <c r="S87" s="11"/>
      <c r="T87" s="11"/>
    </row>
    <row r="88" spans="1:20" ht="14.25" customHeight="1" x14ac:dyDescent="0.75">
      <c r="A88" s="62" t="s">
        <v>119</v>
      </c>
      <c r="B88" s="77">
        <v>2</v>
      </c>
      <c r="C88" s="77">
        <v>2</v>
      </c>
      <c r="D88" s="75">
        <v>4</v>
      </c>
      <c r="E88" s="77">
        <v>2</v>
      </c>
      <c r="F88" s="75">
        <v>4</v>
      </c>
      <c r="G88" s="75">
        <v>4</v>
      </c>
      <c r="H88" s="75">
        <v>5</v>
      </c>
      <c r="I88" s="76">
        <v>3</v>
      </c>
      <c r="J88" s="76">
        <v>3</v>
      </c>
      <c r="K88" s="75">
        <v>5</v>
      </c>
      <c r="L88" s="76">
        <v>3</v>
      </c>
      <c r="M88" s="76">
        <v>3</v>
      </c>
      <c r="N88" s="112">
        <f t="shared" si="2"/>
        <v>3.3333333333333335</v>
      </c>
      <c r="O88" s="124"/>
      <c r="P88" s="78" t="s">
        <v>54</v>
      </c>
      <c r="Q88" s="11"/>
      <c r="R88" s="11"/>
      <c r="S88" s="11"/>
      <c r="T88" s="11"/>
    </row>
    <row r="89" spans="1:20" ht="14.25" customHeight="1" x14ac:dyDescent="0.75">
      <c r="A89" s="64" t="s">
        <v>120</v>
      </c>
      <c r="B89" s="80">
        <v>3</v>
      </c>
      <c r="C89" s="82">
        <v>2</v>
      </c>
      <c r="D89" s="79">
        <v>5</v>
      </c>
      <c r="E89" s="80">
        <v>3</v>
      </c>
      <c r="F89" s="79">
        <v>5</v>
      </c>
      <c r="G89" s="80">
        <v>3</v>
      </c>
      <c r="H89" s="79">
        <v>5</v>
      </c>
      <c r="I89" s="79">
        <v>4</v>
      </c>
      <c r="J89" s="79">
        <v>5</v>
      </c>
      <c r="K89" s="79">
        <v>4</v>
      </c>
      <c r="L89" s="82">
        <v>2</v>
      </c>
      <c r="M89" s="79">
        <v>5</v>
      </c>
      <c r="N89" s="113">
        <f t="shared" si="2"/>
        <v>3.8333333333333335</v>
      </c>
      <c r="O89" s="125"/>
      <c r="P89" s="81" t="s">
        <v>54</v>
      </c>
      <c r="Q89" s="11"/>
      <c r="R89" s="11"/>
      <c r="S89" s="11"/>
      <c r="T89" s="11"/>
    </row>
    <row r="90" spans="1:20" ht="14.25" customHeight="1" x14ac:dyDescent="0.75">
      <c r="A90" s="64" t="s">
        <v>121</v>
      </c>
      <c r="B90" s="79">
        <v>4</v>
      </c>
      <c r="C90" s="80">
        <v>3</v>
      </c>
      <c r="D90" s="82">
        <v>2</v>
      </c>
      <c r="E90" s="79">
        <v>5</v>
      </c>
      <c r="F90" s="79">
        <v>4</v>
      </c>
      <c r="G90" s="79">
        <v>4</v>
      </c>
      <c r="H90" s="79">
        <v>4</v>
      </c>
      <c r="I90" s="79">
        <v>5</v>
      </c>
      <c r="J90" s="79">
        <v>4</v>
      </c>
      <c r="K90" s="80">
        <v>3</v>
      </c>
      <c r="L90" s="79">
        <v>5</v>
      </c>
      <c r="M90" s="79">
        <v>5</v>
      </c>
      <c r="N90" s="113">
        <f t="shared" si="2"/>
        <v>4</v>
      </c>
      <c r="O90" s="125"/>
      <c r="P90" s="81" t="s">
        <v>54</v>
      </c>
      <c r="Q90" s="11"/>
      <c r="R90" s="11"/>
      <c r="S90" s="11"/>
      <c r="T90" s="11"/>
    </row>
    <row r="91" spans="1:20" ht="14.25" customHeight="1" x14ac:dyDescent="0.75">
      <c r="A91" s="64" t="s">
        <v>122</v>
      </c>
      <c r="B91" s="82">
        <v>2</v>
      </c>
      <c r="C91" s="80">
        <v>3</v>
      </c>
      <c r="D91" s="79">
        <v>5</v>
      </c>
      <c r="E91" s="79">
        <v>4</v>
      </c>
      <c r="F91" s="79">
        <v>4</v>
      </c>
      <c r="G91" s="79">
        <v>4</v>
      </c>
      <c r="H91" s="79">
        <v>5</v>
      </c>
      <c r="I91" s="79">
        <v>4</v>
      </c>
      <c r="J91" s="82">
        <v>2</v>
      </c>
      <c r="K91" s="82">
        <v>2</v>
      </c>
      <c r="L91" s="79">
        <v>5</v>
      </c>
      <c r="M91" s="79">
        <v>4</v>
      </c>
      <c r="N91" s="113">
        <f t="shared" si="2"/>
        <v>3.6666666666666665</v>
      </c>
      <c r="O91" s="125"/>
      <c r="P91" s="81" t="s">
        <v>54</v>
      </c>
      <c r="Q91" s="11"/>
      <c r="R91" s="11"/>
      <c r="S91" s="11"/>
      <c r="T91" s="11"/>
    </row>
    <row r="92" spans="1:20" ht="14.25" customHeight="1" thickBot="1" x14ac:dyDescent="0.9">
      <c r="A92" s="66" t="s">
        <v>123</v>
      </c>
      <c r="B92" s="84">
        <v>3</v>
      </c>
      <c r="C92" s="83">
        <v>4</v>
      </c>
      <c r="D92" s="84">
        <v>3</v>
      </c>
      <c r="E92" s="84">
        <v>3</v>
      </c>
      <c r="F92" s="83">
        <v>4</v>
      </c>
      <c r="G92" s="84">
        <v>3</v>
      </c>
      <c r="H92" s="85">
        <v>2</v>
      </c>
      <c r="I92" s="83">
        <v>4</v>
      </c>
      <c r="J92" s="83">
        <v>5</v>
      </c>
      <c r="K92" s="85">
        <v>2</v>
      </c>
      <c r="L92" s="83">
        <v>4</v>
      </c>
      <c r="M92" s="84">
        <v>3</v>
      </c>
      <c r="N92" s="114">
        <f t="shared" si="2"/>
        <v>3.3333333333333335</v>
      </c>
      <c r="O92" s="126"/>
      <c r="P92" s="86" t="s">
        <v>54</v>
      </c>
      <c r="Q92" s="11"/>
      <c r="R92" s="11"/>
      <c r="S92" s="11"/>
      <c r="T92" s="11"/>
    </row>
    <row r="93" spans="1:20" ht="14.25" customHeight="1" thickBot="1" x14ac:dyDescent="0.9">
      <c r="A93" s="95" t="s">
        <v>124</v>
      </c>
      <c r="B93" s="97">
        <f t="shared" ref="B93:M93" si="14">AVERAGE(B94:B98)</f>
        <v>4</v>
      </c>
      <c r="C93" s="98">
        <f t="shared" si="14"/>
        <v>3.8</v>
      </c>
      <c r="D93" s="99">
        <f t="shared" si="14"/>
        <v>4</v>
      </c>
      <c r="E93" s="100">
        <f t="shared" si="14"/>
        <v>3.6</v>
      </c>
      <c r="F93" s="98">
        <f t="shared" si="14"/>
        <v>3.4</v>
      </c>
      <c r="G93" s="101">
        <f t="shared" si="14"/>
        <v>2.4</v>
      </c>
      <c r="H93" s="97">
        <f t="shared" si="14"/>
        <v>4.5999999999999996</v>
      </c>
      <c r="I93" s="101">
        <f t="shared" si="14"/>
        <v>2.8</v>
      </c>
      <c r="J93" s="100">
        <f t="shared" si="14"/>
        <v>3.2</v>
      </c>
      <c r="K93" s="97">
        <f t="shared" si="14"/>
        <v>3.2</v>
      </c>
      <c r="L93" s="98">
        <f t="shared" si="14"/>
        <v>3.4</v>
      </c>
      <c r="M93" s="101">
        <f t="shared" si="14"/>
        <v>4.2</v>
      </c>
      <c r="N93" s="107">
        <f t="shared" si="2"/>
        <v>3.5500000000000003</v>
      </c>
      <c r="O93" s="122"/>
      <c r="P93" s="74" t="s">
        <v>52</v>
      </c>
      <c r="Q93" s="11"/>
      <c r="R93" s="11"/>
      <c r="S93" s="11"/>
      <c r="T93" s="11"/>
    </row>
    <row r="94" spans="1:20" ht="14.25" customHeight="1" x14ac:dyDescent="0.75">
      <c r="A94" s="62" t="s">
        <v>125</v>
      </c>
      <c r="B94" s="77">
        <v>2</v>
      </c>
      <c r="C94" s="75">
        <v>4</v>
      </c>
      <c r="D94" s="75">
        <v>4</v>
      </c>
      <c r="E94" s="75">
        <v>5</v>
      </c>
      <c r="F94" s="76">
        <v>3</v>
      </c>
      <c r="G94" s="76">
        <v>3</v>
      </c>
      <c r="H94" s="75">
        <v>4</v>
      </c>
      <c r="I94" s="75">
        <v>4</v>
      </c>
      <c r="J94" s="76">
        <v>3</v>
      </c>
      <c r="K94" s="75">
        <v>4</v>
      </c>
      <c r="L94" s="75">
        <v>5</v>
      </c>
      <c r="M94" s="75">
        <v>4</v>
      </c>
      <c r="N94" s="112">
        <f t="shared" si="2"/>
        <v>3.75</v>
      </c>
      <c r="O94" s="124"/>
      <c r="P94" s="78" t="s">
        <v>54</v>
      </c>
      <c r="Q94" s="11"/>
      <c r="R94" s="11"/>
      <c r="S94" s="11"/>
      <c r="T94" s="11"/>
    </row>
    <row r="95" spans="1:20" ht="14.25" customHeight="1" x14ac:dyDescent="0.75">
      <c r="A95" s="64" t="s">
        <v>126</v>
      </c>
      <c r="B95" s="79">
        <v>4</v>
      </c>
      <c r="C95" s="82">
        <v>2</v>
      </c>
      <c r="D95" s="79">
        <v>5</v>
      </c>
      <c r="E95" s="82">
        <v>2</v>
      </c>
      <c r="F95" s="80">
        <v>3</v>
      </c>
      <c r="G95" s="80">
        <v>3</v>
      </c>
      <c r="H95" s="79">
        <v>4</v>
      </c>
      <c r="I95" s="82">
        <v>2</v>
      </c>
      <c r="J95" s="79">
        <v>5</v>
      </c>
      <c r="K95" s="82">
        <v>2</v>
      </c>
      <c r="L95" s="79">
        <v>4</v>
      </c>
      <c r="M95" s="82">
        <v>2</v>
      </c>
      <c r="N95" s="113">
        <f t="shared" si="2"/>
        <v>3.1666666666666665</v>
      </c>
      <c r="O95" s="125"/>
      <c r="P95" s="81" t="s">
        <v>54</v>
      </c>
      <c r="Q95" s="11"/>
      <c r="R95" s="11"/>
      <c r="S95" s="11"/>
      <c r="T95" s="11"/>
    </row>
    <row r="96" spans="1:20" ht="14.25" customHeight="1" x14ac:dyDescent="0.75">
      <c r="A96" s="64" t="s">
        <v>127</v>
      </c>
      <c r="B96" s="79">
        <v>5</v>
      </c>
      <c r="C96" s="79">
        <v>4</v>
      </c>
      <c r="D96" s="79">
        <v>4</v>
      </c>
      <c r="E96" s="79">
        <v>5</v>
      </c>
      <c r="F96" s="79">
        <v>4</v>
      </c>
      <c r="G96" s="82">
        <v>2</v>
      </c>
      <c r="H96" s="79">
        <v>5</v>
      </c>
      <c r="I96" s="82">
        <v>2</v>
      </c>
      <c r="J96" s="79">
        <v>4</v>
      </c>
      <c r="K96" s="80">
        <v>3</v>
      </c>
      <c r="L96" s="82">
        <v>2</v>
      </c>
      <c r="M96" s="79">
        <v>5</v>
      </c>
      <c r="N96" s="113">
        <f t="shared" si="2"/>
        <v>3.75</v>
      </c>
      <c r="O96" s="125"/>
      <c r="P96" s="81" t="s">
        <v>54</v>
      </c>
      <c r="Q96" s="11"/>
      <c r="R96" s="11"/>
      <c r="S96" s="11"/>
      <c r="T96" s="11"/>
    </row>
    <row r="97" spans="1:20" ht="14.25" customHeight="1" x14ac:dyDescent="0.75">
      <c r="A97" s="64" t="s">
        <v>128</v>
      </c>
      <c r="B97" s="79">
        <v>4</v>
      </c>
      <c r="C97" s="79">
        <v>5</v>
      </c>
      <c r="D97" s="82">
        <v>2</v>
      </c>
      <c r="E97" s="80">
        <v>3</v>
      </c>
      <c r="F97" s="82">
        <v>2</v>
      </c>
      <c r="G97" s="82">
        <v>2</v>
      </c>
      <c r="H97" s="79">
        <v>5</v>
      </c>
      <c r="I97" s="82">
        <v>2</v>
      </c>
      <c r="J97" s="82">
        <v>2</v>
      </c>
      <c r="K97" s="80">
        <v>3</v>
      </c>
      <c r="L97" s="80">
        <v>3</v>
      </c>
      <c r="M97" s="79">
        <v>5</v>
      </c>
      <c r="N97" s="113">
        <f t="shared" si="2"/>
        <v>3.1666666666666665</v>
      </c>
      <c r="O97" s="125"/>
      <c r="P97" s="81" t="s">
        <v>54</v>
      </c>
      <c r="Q97" s="11"/>
      <c r="R97" s="11"/>
      <c r="S97" s="11"/>
      <c r="T97" s="11"/>
    </row>
    <row r="98" spans="1:20" ht="14.25" customHeight="1" thickBot="1" x14ac:dyDescent="0.9">
      <c r="A98" s="64" t="s">
        <v>129</v>
      </c>
      <c r="B98" s="79">
        <v>5</v>
      </c>
      <c r="C98" s="79">
        <v>4</v>
      </c>
      <c r="D98" s="79">
        <v>5</v>
      </c>
      <c r="E98" s="80">
        <v>3</v>
      </c>
      <c r="F98" s="79">
        <v>5</v>
      </c>
      <c r="G98" s="82">
        <v>2</v>
      </c>
      <c r="H98" s="79">
        <v>5</v>
      </c>
      <c r="I98" s="79">
        <v>4</v>
      </c>
      <c r="J98" s="82">
        <v>2</v>
      </c>
      <c r="K98" s="79">
        <v>4</v>
      </c>
      <c r="L98" s="80">
        <v>3</v>
      </c>
      <c r="M98" s="79">
        <v>5</v>
      </c>
      <c r="N98" s="113">
        <f t="shared" si="2"/>
        <v>3.9166666666666665</v>
      </c>
      <c r="O98" s="125"/>
      <c r="P98" s="81" t="s">
        <v>54</v>
      </c>
      <c r="Q98" s="11"/>
      <c r="R98" s="11"/>
      <c r="S98" s="11"/>
      <c r="T98" s="11"/>
    </row>
    <row r="99" spans="1:20" ht="14.25" customHeight="1" thickBot="1" x14ac:dyDescent="0.9">
      <c r="A99" s="103" t="s">
        <v>130</v>
      </c>
      <c r="B99" s="104">
        <f t="shared" ref="B99:M99" si="15">AVERAGE(B9:B98)</f>
        <v>3.2966991341991343</v>
      </c>
      <c r="C99" s="104">
        <f t="shared" si="15"/>
        <v>3.3372213304797578</v>
      </c>
      <c r="D99" s="105">
        <f t="shared" si="15"/>
        <v>3.5351881576600679</v>
      </c>
      <c r="E99" s="105">
        <f t="shared" si="15"/>
        <v>3.3750811688311697</v>
      </c>
      <c r="F99" s="105">
        <f t="shared" si="15"/>
        <v>3.3086855716069192</v>
      </c>
      <c r="G99" s="104">
        <f t="shared" si="15"/>
        <v>3.3901908328874621</v>
      </c>
      <c r="H99" s="105">
        <f t="shared" si="15"/>
        <v>3.4734036796536798</v>
      </c>
      <c r="I99" s="105">
        <f t="shared" si="15"/>
        <v>3.5755216693418941</v>
      </c>
      <c r="J99" s="105">
        <f t="shared" si="15"/>
        <v>3.6088995897984661</v>
      </c>
      <c r="K99" s="105">
        <f t="shared" si="15"/>
        <v>3.4788690476190469</v>
      </c>
      <c r="L99" s="105">
        <f t="shared" si="15"/>
        <v>3.4979978354978356</v>
      </c>
      <c r="M99" s="104">
        <f t="shared" si="15"/>
        <v>3.4021045122168716</v>
      </c>
      <c r="N99" s="115">
        <f t="shared" si="2"/>
        <v>3.4399885441493585</v>
      </c>
      <c r="O99" s="127"/>
      <c r="P99" s="106" t="s">
        <v>54</v>
      </c>
      <c r="Q99" s="11"/>
      <c r="R99" s="11"/>
      <c r="S99" s="11"/>
      <c r="T99" s="11"/>
    </row>
    <row r="100" spans="1:20" ht="14.25" customHeight="1" x14ac:dyDescent="0.75">
      <c r="P100" s="19"/>
      <c r="Q100" s="11"/>
      <c r="R100" s="11"/>
      <c r="S100" s="11"/>
      <c r="T100" s="11"/>
    </row>
    <row r="101" spans="1:20" ht="14.25" customHeight="1" x14ac:dyDescent="0.75">
      <c r="P101" s="19"/>
      <c r="Q101" s="11"/>
      <c r="R101" s="11"/>
      <c r="S101" s="11"/>
      <c r="T101" s="11"/>
    </row>
    <row r="102" spans="1:20" ht="14.25" customHeight="1" x14ac:dyDescent="0.75">
      <c r="P102" s="19"/>
      <c r="Q102" s="11"/>
      <c r="R102" s="11"/>
      <c r="S102" s="11"/>
      <c r="T102" s="11"/>
    </row>
    <row r="103" spans="1:20" ht="14.25" customHeight="1" x14ac:dyDescent="0.75">
      <c r="P103" s="19"/>
      <c r="Q103" s="11"/>
      <c r="R103" s="11"/>
      <c r="S103" s="11"/>
      <c r="T103" s="11"/>
    </row>
    <row r="104" spans="1:20" ht="14.25" customHeight="1" x14ac:dyDescent="0.75">
      <c r="P104" s="19"/>
      <c r="Q104" s="11"/>
      <c r="R104" s="11"/>
      <c r="S104" s="11"/>
      <c r="T104" s="11"/>
    </row>
    <row r="105" spans="1:20" ht="14.25" customHeight="1" x14ac:dyDescent="0.75">
      <c r="P105" s="19"/>
      <c r="Q105" s="11"/>
      <c r="R105" s="11"/>
      <c r="S105" s="11"/>
      <c r="T105" s="11"/>
    </row>
    <row r="106" spans="1:20" ht="14.25" customHeight="1" x14ac:dyDescent="0.75">
      <c r="P106" s="19"/>
      <c r="Q106" s="11"/>
      <c r="R106" s="11"/>
      <c r="S106" s="11"/>
      <c r="T106" s="11"/>
    </row>
    <row r="107" spans="1:20" ht="14.25" customHeight="1" x14ac:dyDescent="0.75">
      <c r="P107" s="19"/>
      <c r="Q107" s="11"/>
      <c r="R107" s="11"/>
      <c r="S107" s="11"/>
      <c r="T107" s="11"/>
    </row>
    <row r="108" spans="1:20" ht="14.25" customHeight="1" x14ac:dyDescent="0.75">
      <c r="P108" s="19"/>
      <c r="Q108" s="11"/>
      <c r="R108" s="11"/>
      <c r="S108" s="11"/>
      <c r="T108" s="11"/>
    </row>
    <row r="109" spans="1:20" ht="14.25" customHeight="1" x14ac:dyDescent="0.75">
      <c r="P109" s="19"/>
      <c r="Q109" s="11"/>
      <c r="R109" s="11"/>
      <c r="S109" s="11"/>
      <c r="T109" s="11"/>
    </row>
    <row r="110" spans="1:20" ht="14.25" customHeight="1" x14ac:dyDescent="0.75">
      <c r="P110" s="19"/>
      <c r="Q110" s="11"/>
      <c r="R110" s="11"/>
      <c r="S110" s="11"/>
      <c r="T110" s="11"/>
    </row>
    <row r="111" spans="1:20" ht="14.25" customHeight="1" x14ac:dyDescent="0.75">
      <c r="P111" s="19"/>
      <c r="Q111" s="11"/>
      <c r="R111" s="11"/>
      <c r="S111" s="11"/>
      <c r="T111" s="11"/>
    </row>
    <row r="112" spans="1:20" ht="14.25" customHeight="1" x14ac:dyDescent="0.75">
      <c r="P112" s="19"/>
      <c r="Q112" s="11"/>
      <c r="R112" s="11"/>
      <c r="S112" s="11"/>
      <c r="T112" s="11"/>
    </row>
    <row r="113" spans="16:20" ht="14.25" customHeight="1" x14ac:dyDescent="0.75">
      <c r="P113" s="19"/>
      <c r="Q113" s="11"/>
      <c r="R113" s="11"/>
      <c r="S113" s="11"/>
      <c r="T113" s="11"/>
    </row>
    <row r="114" spans="16:20" ht="14.25" customHeight="1" x14ac:dyDescent="0.75">
      <c r="P114" s="19"/>
      <c r="Q114" s="11"/>
      <c r="R114" s="11"/>
      <c r="S114" s="11"/>
      <c r="T114" s="11"/>
    </row>
    <row r="115" spans="16:20" ht="14.25" customHeight="1" x14ac:dyDescent="0.75">
      <c r="P115" s="19"/>
      <c r="Q115" s="11"/>
      <c r="R115" s="11"/>
      <c r="S115" s="11"/>
      <c r="T115" s="11"/>
    </row>
    <row r="116" spans="16:20" ht="14.25" customHeight="1" x14ac:dyDescent="0.75">
      <c r="P116" s="19"/>
      <c r="Q116" s="11"/>
      <c r="R116" s="11"/>
      <c r="S116" s="11"/>
      <c r="T116" s="11"/>
    </row>
    <row r="117" spans="16:20" ht="14.25" customHeight="1" x14ac:dyDescent="0.75">
      <c r="P117" s="19"/>
      <c r="Q117" s="11"/>
      <c r="R117" s="11"/>
      <c r="S117" s="11"/>
      <c r="T117" s="11"/>
    </row>
    <row r="118" spans="16:20" ht="14.25" customHeight="1" x14ac:dyDescent="0.75">
      <c r="P118" s="19"/>
      <c r="Q118" s="11"/>
      <c r="R118" s="11"/>
      <c r="S118" s="11"/>
      <c r="T118" s="11"/>
    </row>
    <row r="119" spans="16:20" ht="14.25" customHeight="1" x14ac:dyDescent="0.75">
      <c r="P119" s="19"/>
      <c r="Q119" s="11"/>
      <c r="R119" s="11"/>
      <c r="S119" s="11"/>
      <c r="T119" s="11"/>
    </row>
    <row r="120" spans="16:20" ht="14.25" customHeight="1" x14ac:dyDescent="0.75">
      <c r="P120" s="19"/>
      <c r="Q120" s="11"/>
      <c r="R120" s="11"/>
      <c r="S120" s="11"/>
      <c r="T120" s="11"/>
    </row>
    <row r="121" spans="16:20" ht="14.25" customHeight="1" x14ac:dyDescent="0.75">
      <c r="P121" s="19"/>
      <c r="Q121" s="11"/>
      <c r="R121" s="11"/>
      <c r="S121" s="11"/>
      <c r="T121" s="11"/>
    </row>
    <row r="122" spans="16:20" ht="14.25" customHeight="1" x14ac:dyDescent="0.75">
      <c r="P122" s="19"/>
    </row>
    <row r="123" spans="16:20" ht="14.25" customHeight="1" x14ac:dyDescent="0.75">
      <c r="P123" s="19"/>
    </row>
    <row r="124" spans="16:20" ht="14.25" customHeight="1" x14ac:dyDescent="0.75">
      <c r="P124" s="19"/>
    </row>
    <row r="125" spans="16:20" ht="14.25" customHeight="1" x14ac:dyDescent="0.75">
      <c r="P125" s="19"/>
    </row>
    <row r="126" spans="16:20" ht="14.25" customHeight="1" x14ac:dyDescent="0.75">
      <c r="P126" s="19"/>
    </row>
    <row r="127" spans="16:20" ht="14.25" customHeight="1" x14ac:dyDescent="0.75">
      <c r="P127" s="19"/>
    </row>
    <row r="128" spans="16:20" ht="14.25" customHeight="1" x14ac:dyDescent="0.75">
      <c r="P128" s="19"/>
    </row>
    <row r="129" spans="16:16" ht="14.25" customHeight="1" x14ac:dyDescent="0.75">
      <c r="P129" s="19"/>
    </row>
    <row r="130" spans="16:16" ht="14.25" customHeight="1" x14ac:dyDescent="0.75">
      <c r="P130" s="19"/>
    </row>
    <row r="131" spans="16:16" ht="14.25" customHeight="1" x14ac:dyDescent="0.75">
      <c r="P131" s="19"/>
    </row>
    <row r="132" spans="16:16" ht="14.25" customHeight="1" x14ac:dyDescent="0.75">
      <c r="P132" s="19"/>
    </row>
    <row r="133" spans="16:16" ht="14.25" customHeight="1" x14ac:dyDescent="0.75">
      <c r="P133" s="19"/>
    </row>
    <row r="134" spans="16:16" ht="14.25" customHeight="1" x14ac:dyDescent="0.75">
      <c r="P134" s="19"/>
    </row>
    <row r="135" spans="16:16" ht="14.25" customHeight="1" x14ac:dyDescent="0.75">
      <c r="P135" s="19"/>
    </row>
    <row r="136" spans="16:16" ht="14.25" customHeight="1" x14ac:dyDescent="0.75">
      <c r="P136" s="19"/>
    </row>
    <row r="137" spans="16:16" ht="14.25" customHeight="1" x14ac:dyDescent="0.75">
      <c r="P137" s="19"/>
    </row>
    <row r="138" spans="16:16" ht="14.25" customHeight="1" x14ac:dyDescent="0.75">
      <c r="P138" s="19"/>
    </row>
    <row r="139" spans="16:16" ht="14.25" customHeight="1" x14ac:dyDescent="0.75">
      <c r="P139" s="19"/>
    </row>
    <row r="140" spans="16:16" ht="14.25" customHeight="1" x14ac:dyDescent="0.75">
      <c r="P140" s="19"/>
    </row>
    <row r="141" spans="16:16" ht="14.25" customHeight="1" x14ac:dyDescent="0.75">
      <c r="P141" s="19"/>
    </row>
    <row r="142" spans="16:16" ht="14.25" customHeight="1" x14ac:dyDescent="0.75">
      <c r="P142" s="19"/>
    </row>
    <row r="143" spans="16:16" ht="14.25" customHeight="1" x14ac:dyDescent="0.75">
      <c r="P143" s="19"/>
    </row>
    <row r="144" spans="16:16" ht="14.25" customHeight="1" x14ac:dyDescent="0.75">
      <c r="P144" s="19"/>
    </row>
    <row r="145" spans="16:16" ht="14.25" customHeight="1" x14ac:dyDescent="0.75">
      <c r="P145" s="19"/>
    </row>
    <row r="146" spans="16:16" ht="14.25" customHeight="1" x14ac:dyDescent="0.75">
      <c r="P146" s="19"/>
    </row>
    <row r="147" spans="16:16" ht="14.25" customHeight="1" x14ac:dyDescent="0.75">
      <c r="P147" s="19"/>
    </row>
    <row r="148" spans="16:16" ht="14.25" customHeight="1" x14ac:dyDescent="0.75">
      <c r="P148" s="19"/>
    </row>
    <row r="149" spans="16:16" ht="14.25" customHeight="1" x14ac:dyDescent="0.75">
      <c r="P149" s="19"/>
    </row>
    <row r="150" spans="16:16" ht="14.25" customHeight="1" x14ac:dyDescent="0.75">
      <c r="P150" s="19"/>
    </row>
    <row r="151" spans="16:16" ht="14.25" customHeight="1" x14ac:dyDescent="0.75">
      <c r="P151" s="19"/>
    </row>
    <row r="152" spans="16:16" ht="14.25" customHeight="1" x14ac:dyDescent="0.75">
      <c r="P152" s="19"/>
    </row>
    <row r="153" spans="16:16" ht="14.25" customHeight="1" x14ac:dyDescent="0.75">
      <c r="P153" s="19"/>
    </row>
    <row r="154" spans="16:16" ht="14.25" customHeight="1" x14ac:dyDescent="0.75">
      <c r="P154" s="19"/>
    </row>
    <row r="155" spans="16:16" ht="14.25" customHeight="1" x14ac:dyDescent="0.75">
      <c r="P155" s="19"/>
    </row>
    <row r="156" spans="16:16" ht="14.25" customHeight="1" x14ac:dyDescent="0.75">
      <c r="P156" s="19"/>
    </row>
    <row r="157" spans="16:16" ht="14.25" customHeight="1" x14ac:dyDescent="0.75">
      <c r="P157" s="19"/>
    </row>
    <row r="158" spans="16:16" ht="14.25" customHeight="1" x14ac:dyDescent="0.75">
      <c r="P158" s="19"/>
    </row>
    <row r="159" spans="16:16" ht="14.25" customHeight="1" x14ac:dyDescent="0.75">
      <c r="P159" s="19"/>
    </row>
    <row r="160" spans="16:16" ht="14.25" customHeight="1" x14ac:dyDescent="0.75">
      <c r="P160" s="19"/>
    </row>
    <row r="161" spans="16:16" ht="14.25" customHeight="1" x14ac:dyDescent="0.75">
      <c r="P161" s="19"/>
    </row>
    <row r="162" spans="16:16" ht="14.25" customHeight="1" x14ac:dyDescent="0.75">
      <c r="P162" s="19"/>
    </row>
    <row r="163" spans="16:16" ht="14.25" customHeight="1" x14ac:dyDescent="0.75">
      <c r="P163" s="19"/>
    </row>
    <row r="164" spans="16:16" ht="14.25" customHeight="1" x14ac:dyDescent="0.75">
      <c r="P164" s="19"/>
    </row>
    <row r="165" spans="16:16" ht="14.25" customHeight="1" x14ac:dyDescent="0.75">
      <c r="P165" s="19"/>
    </row>
    <row r="166" spans="16:16" ht="14.25" customHeight="1" x14ac:dyDescent="0.75">
      <c r="P166" s="19"/>
    </row>
    <row r="167" spans="16:16" ht="14.25" customHeight="1" x14ac:dyDescent="0.75">
      <c r="P167" s="19"/>
    </row>
    <row r="168" spans="16:16" ht="14.25" customHeight="1" x14ac:dyDescent="0.75">
      <c r="P168" s="19"/>
    </row>
    <row r="169" spans="16:16" ht="14.25" customHeight="1" x14ac:dyDescent="0.75">
      <c r="P169" s="19"/>
    </row>
    <row r="170" spans="16:16" ht="14.25" customHeight="1" x14ac:dyDescent="0.75">
      <c r="P170" s="19"/>
    </row>
    <row r="171" spans="16:16" ht="14.25" customHeight="1" x14ac:dyDescent="0.75">
      <c r="P171" s="19"/>
    </row>
    <row r="172" spans="16:16" ht="14.25" customHeight="1" x14ac:dyDescent="0.75">
      <c r="P172" s="19"/>
    </row>
    <row r="173" spans="16:16" ht="14.25" customHeight="1" x14ac:dyDescent="0.75">
      <c r="P173" s="19"/>
    </row>
    <row r="174" spans="16:16" ht="14.25" customHeight="1" x14ac:dyDescent="0.75">
      <c r="P174" s="19"/>
    </row>
    <row r="175" spans="16:16" ht="14.25" customHeight="1" x14ac:dyDescent="0.75">
      <c r="P175" s="19"/>
    </row>
    <row r="176" spans="16:16" ht="14.25" customHeight="1" x14ac:dyDescent="0.75">
      <c r="P176" s="19"/>
    </row>
    <row r="177" spans="16:16" ht="14.25" customHeight="1" x14ac:dyDescent="0.75">
      <c r="P177" s="19"/>
    </row>
    <row r="178" spans="16:16" ht="14.25" customHeight="1" x14ac:dyDescent="0.75">
      <c r="P178" s="19"/>
    </row>
    <row r="179" spans="16:16" ht="14.25" customHeight="1" x14ac:dyDescent="0.75">
      <c r="P179" s="19"/>
    </row>
    <row r="180" spans="16:16" ht="14.25" customHeight="1" x14ac:dyDescent="0.75">
      <c r="P180" s="19"/>
    </row>
    <row r="181" spans="16:16" ht="14.25" customHeight="1" x14ac:dyDescent="0.75">
      <c r="P181" s="19"/>
    </row>
    <row r="182" spans="16:16" ht="14.25" customHeight="1" x14ac:dyDescent="0.75">
      <c r="P182" s="19"/>
    </row>
    <row r="183" spans="16:16" ht="14.25" customHeight="1" x14ac:dyDescent="0.75">
      <c r="P183" s="19"/>
    </row>
    <row r="184" spans="16:16" ht="14.25" customHeight="1" x14ac:dyDescent="0.75">
      <c r="P184" s="19"/>
    </row>
    <row r="185" spans="16:16" ht="14.25" customHeight="1" x14ac:dyDescent="0.75">
      <c r="P185" s="19"/>
    </row>
    <row r="186" spans="16:16" ht="14.25" customHeight="1" x14ac:dyDescent="0.75">
      <c r="P186" s="19"/>
    </row>
    <row r="187" spans="16:16" ht="14.25" customHeight="1" x14ac:dyDescent="0.75">
      <c r="P187" s="19"/>
    </row>
    <row r="188" spans="16:16" ht="14.25" customHeight="1" x14ac:dyDescent="0.75">
      <c r="P188" s="19"/>
    </row>
    <row r="189" spans="16:16" ht="14.25" customHeight="1" x14ac:dyDescent="0.75">
      <c r="P189" s="19"/>
    </row>
    <row r="190" spans="16:16" ht="14.25" customHeight="1" x14ac:dyDescent="0.75">
      <c r="P190" s="19"/>
    </row>
    <row r="191" spans="16:16" ht="14.25" customHeight="1" x14ac:dyDescent="0.75">
      <c r="P191" s="19"/>
    </row>
    <row r="192" spans="16:16" ht="14.25" customHeight="1" x14ac:dyDescent="0.75">
      <c r="P192" s="19"/>
    </row>
    <row r="193" spans="16:16" ht="14.25" customHeight="1" x14ac:dyDescent="0.75">
      <c r="P193" s="19"/>
    </row>
    <row r="194" spans="16:16" ht="14.25" customHeight="1" x14ac:dyDescent="0.75">
      <c r="P194" s="19"/>
    </row>
    <row r="195" spans="16:16" ht="14.25" customHeight="1" x14ac:dyDescent="0.75">
      <c r="P195" s="19"/>
    </row>
    <row r="196" spans="16:16" ht="14.25" customHeight="1" x14ac:dyDescent="0.75">
      <c r="P196" s="19"/>
    </row>
    <row r="197" spans="16:16" ht="14.25" customHeight="1" x14ac:dyDescent="0.75">
      <c r="P197" s="19"/>
    </row>
    <row r="198" spans="16:16" ht="14.25" customHeight="1" x14ac:dyDescent="0.75">
      <c r="P198" s="19"/>
    </row>
    <row r="199" spans="16:16" ht="14.25" customHeight="1" x14ac:dyDescent="0.75">
      <c r="P199" s="19"/>
    </row>
    <row r="200" spans="16:16" ht="14.25" customHeight="1" x14ac:dyDescent="0.75">
      <c r="P200" s="19"/>
    </row>
    <row r="201" spans="16:16" ht="14.25" customHeight="1" x14ac:dyDescent="0.75">
      <c r="P201" s="19"/>
    </row>
    <row r="202" spans="16:16" ht="14.25" customHeight="1" x14ac:dyDescent="0.75">
      <c r="P202" s="19"/>
    </row>
    <row r="203" spans="16:16" ht="14.25" customHeight="1" x14ac:dyDescent="0.75">
      <c r="P203" s="19"/>
    </row>
    <row r="204" spans="16:16" ht="14.25" customHeight="1" x14ac:dyDescent="0.75">
      <c r="P204" s="19"/>
    </row>
    <row r="205" spans="16:16" ht="14.25" customHeight="1" x14ac:dyDescent="0.75">
      <c r="P205" s="19"/>
    </row>
    <row r="206" spans="16:16" ht="14.25" customHeight="1" x14ac:dyDescent="0.75">
      <c r="P206" s="19"/>
    </row>
    <row r="207" spans="16:16" ht="14.25" customHeight="1" x14ac:dyDescent="0.75">
      <c r="P207" s="19"/>
    </row>
    <row r="208" spans="16:16" ht="14.25" customHeight="1" x14ac:dyDescent="0.75">
      <c r="P208" s="19"/>
    </row>
    <row r="209" spans="16:16" ht="14.25" customHeight="1" x14ac:dyDescent="0.75">
      <c r="P209" s="19"/>
    </row>
    <row r="210" spans="16:16" ht="14.25" customHeight="1" x14ac:dyDescent="0.75">
      <c r="P210" s="19"/>
    </row>
    <row r="211" spans="16:16" ht="14.25" customHeight="1" x14ac:dyDescent="0.75">
      <c r="P211" s="19"/>
    </row>
    <row r="212" spans="16:16" ht="14.25" customHeight="1" x14ac:dyDescent="0.75">
      <c r="P212" s="19"/>
    </row>
    <row r="213" spans="16:16" ht="14.25" customHeight="1" x14ac:dyDescent="0.75">
      <c r="P213" s="19"/>
    </row>
    <row r="214" spans="16:16" ht="14.25" customHeight="1" x14ac:dyDescent="0.75">
      <c r="P214" s="19"/>
    </row>
    <row r="215" spans="16:16" ht="14.25" customHeight="1" x14ac:dyDescent="0.75">
      <c r="P215" s="19"/>
    </row>
    <row r="216" spans="16:16" ht="14.25" customHeight="1" x14ac:dyDescent="0.75">
      <c r="P216" s="19"/>
    </row>
    <row r="217" spans="16:16" ht="14.25" customHeight="1" x14ac:dyDescent="0.75">
      <c r="P217" s="19"/>
    </row>
    <row r="218" spans="16:16" ht="14.25" customHeight="1" x14ac:dyDescent="0.75">
      <c r="P218" s="19"/>
    </row>
    <row r="219" spans="16:16" ht="14.25" customHeight="1" x14ac:dyDescent="0.75">
      <c r="P219" s="19"/>
    </row>
    <row r="220" spans="16:16" ht="14.25" customHeight="1" x14ac:dyDescent="0.75">
      <c r="P220" s="19"/>
    </row>
    <row r="221" spans="16:16" ht="14.25" customHeight="1" x14ac:dyDescent="0.75">
      <c r="P221" s="19"/>
    </row>
    <row r="222" spans="16:16" ht="14.25" customHeight="1" x14ac:dyDescent="0.75">
      <c r="P222" s="19"/>
    </row>
    <row r="223" spans="16:16" ht="14.25" customHeight="1" x14ac:dyDescent="0.75">
      <c r="P223" s="19"/>
    </row>
    <row r="224" spans="16:16" ht="14.25" customHeight="1" x14ac:dyDescent="0.75">
      <c r="P224" s="19"/>
    </row>
    <row r="225" spans="16:16" ht="14.25" customHeight="1" x14ac:dyDescent="0.75">
      <c r="P225" s="19"/>
    </row>
    <row r="226" spans="16:16" ht="14.25" customHeight="1" x14ac:dyDescent="0.75">
      <c r="P226" s="19"/>
    </row>
    <row r="227" spans="16:16" ht="14.25" customHeight="1" x14ac:dyDescent="0.75">
      <c r="P227" s="19"/>
    </row>
    <row r="228" spans="16:16" ht="14.25" customHeight="1" x14ac:dyDescent="0.75">
      <c r="P228" s="19"/>
    </row>
    <row r="229" spans="16:16" ht="14.25" customHeight="1" x14ac:dyDescent="0.75">
      <c r="P229" s="19"/>
    </row>
    <row r="230" spans="16:16" ht="14.25" customHeight="1" x14ac:dyDescent="0.75">
      <c r="P230" s="19"/>
    </row>
    <row r="231" spans="16:16" ht="14.25" customHeight="1" x14ac:dyDescent="0.75">
      <c r="P231" s="19"/>
    </row>
    <row r="232" spans="16:16" ht="14.25" customHeight="1" x14ac:dyDescent="0.75">
      <c r="P232" s="19"/>
    </row>
    <row r="233" spans="16:16" ht="14.25" customHeight="1" x14ac:dyDescent="0.75">
      <c r="P233" s="19"/>
    </row>
    <row r="234" spans="16:16" ht="14.25" customHeight="1" x14ac:dyDescent="0.75">
      <c r="P234" s="19"/>
    </row>
    <row r="235" spans="16:16" ht="14.25" customHeight="1" x14ac:dyDescent="0.75">
      <c r="P235" s="19"/>
    </row>
    <row r="236" spans="16:16" ht="14.25" customHeight="1" x14ac:dyDescent="0.75">
      <c r="P236" s="19"/>
    </row>
    <row r="237" spans="16:16" ht="14.25" customHeight="1" x14ac:dyDescent="0.75">
      <c r="P237" s="19"/>
    </row>
    <row r="238" spans="16:16" ht="14.25" customHeight="1" x14ac:dyDescent="0.75">
      <c r="P238" s="19"/>
    </row>
    <row r="239" spans="16:16" ht="14.25" customHeight="1" x14ac:dyDescent="0.75">
      <c r="P239" s="19"/>
    </row>
    <row r="240" spans="16:16" ht="14.25" customHeight="1" x14ac:dyDescent="0.75">
      <c r="P240" s="19"/>
    </row>
    <row r="241" spans="16:16" ht="14.25" customHeight="1" x14ac:dyDescent="0.75">
      <c r="P241" s="19"/>
    </row>
    <row r="242" spans="16:16" ht="14.25" customHeight="1" x14ac:dyDescent="0.75">
      <c r="P242" s="19"/>
    </row>
    <row r="243" spans="16:16" ht="14.25" customHeight="1" x14ac:dyDescent="0.75">
      <c r="P243" s="19"/>
    </row>
    <row r="244" spans="16:16" ht="14.25" customHeight="1" x14ac:dyDescent="0.75">
      <c r="P244" s="19"/>
    </row>
    <row r="245" spans="16:16" ht="14.25" customHeight="1" x14ac:dyDescent="0.75">
      <c r="P245" s="19"/>
    </row>
    <row r="246" spans="16:16" ht="14.25" customHeight="1" x14ac:dyDescent="0.75">
      <c r="P246" s="19"/>
    </row>
    <row r="247" spans="16:16" ht="14.25" customHeight="1" x14ac:dyDescent="0.75">
      <c r="P247" s="19"/>
    </row>
    <row r="248" spans="16:16" ht="14.25" customHeight="1" x14ac:dyDescent="0.75">
      <c r="P248" s="19"/>
    </row>
    <row r="249" spans="16:16" ht="14.25" customHeight="1" x14ac:dyDescent="0.75">
      <c r="P249" s="19"/>
    </row>
    <row r="250" spans="16:16" ht="14.25" customHeight="1" x14ac:dyDescent="0.75">
      <c r="P250" s="19"/>
    </row>
    <row r="251" spans="16:16" ht="14.25" customHeight="1" x14ac:dyDescent="0.75">
      <c r="P251" s="19"/>
    </row>
    <row r="252" spans="16:16" ht="14.25" customHeight="1" x14ac:dyDescent="0.75">
      <c r="P252" s="19"/>
    </row>
    <row r="253" spans="16:16" ht="14.25" customHeight="1" x14ac:dyDescent="0.75">
      <c r="P253" s="19"/>
    </row>
    <row r="254" spans="16:16" ht="14.25" customHeight="1" x14ac:dyDescent="0.75">
      <c r="P254" s="19"/>
    </row>
    <row r="255" spans="16:16" ht="14.25" customHeight="1" x14ac:dyDescent="0.75">
      <c r="P255" s="19"/>
    </row>
    <row r="256" spans="16:16" ht="14.25" customHeight="1" x14ac:dyDescent="0.75">
      <c r="P256" s="19"/>
    </row>
    <row r="257" spans="16:16" ht="14.25" customHeight="1" x14ac:dyDescent="0.75">
      <c r="P257" s="19"/>
    </row>
    <row r="258" spans="16:16" ht="14.25" customHeight="1" x14ac:dyDescent="0.75">
      <c r="P258" s="19"/>
    </row>
    <row r="259" spans="16:16" ht="14.25" customHeight="1" x14ac:dyDescent="0.75">
      <c r="P259" s="19"/>
    </row>
    <row r="260" spans="16:16" ht="14.25" customHeight="1" x14ac:dyDescent="0.75">
      <c r="P260" s="19"/>
    </row>
    <row r="261" spans="16:16" ht="14.25" customHeight="1" x14ac:dyDescent="0.75">
      <c r="P261" s="19"/>
    </row>
    <row r="262" spans="16:16" ht="14.25" customHeight="1" x14ac:dyDescent="0.75">
      <c r="P262" s="19"/>
    </row>
    <row r="263" spans="16:16" ht="14.25" customHeight="1" x14ac:dyDescent="0.75">
      <c r="P263" s="19"/>
    </row>
    <row r="264" spans="16:16" ht="14.25" customHeight="1" x14ac:dyDescent="0.75">
      <c r="P264" s="19"/>
    </row>
    <row r="265" spans="16:16" ht="14.25" customHeight="1" x14ac:dyDescent="0.75">
      <c r="P265" s="19"/>
    </row>
    <row r="266" spans="16:16" ht="14.25" customHeight="1" x14ac:dyDescent="0.75">
      <c r="P266" s="19"/>
    </row>
    <row r="267" spans="16:16" ht="14.25" customHeight="1" x14ac:dyDescent="0.75">
      <c r="P267" s="19"/>
    </row>
    <row r="268" spans="16:16" ht="14.25" customHeight="1" x14ac:dyDescent="0.75">
      <c r="P268" s="19"/>
    </row>
    <row r="269" spans="16:16" ht="14.25" customHeight="1" x14ac:dyDescent="0.75">
      <c r="P269" s="19"/>
    </row>
    <row r="270" spans="16:16" ht="14.25" customHeight="1" x14ac:dyDescent="0.75">
      <c r="P270" s="19"/>
    </row>
    <row r="271" spans="16:16" ht="14.25" customHeight="1" x14ac:dyDescent="0.75">
      <c r="P271" s="19"/>
    </row>
    <row r="272" spans="16:16" ht="14.25" customHeight="1" x14ac:dyDescent="0.75">
      <c r="P272" s="19"/>
    </row>
    <row r="273" spans="16:16" ht="14.25" customHeight="1" x14ac:dyDescent="0.75">
      <c r="P273" s="19"/>
    </row>
    <row r="274" spans="16:16" ht="14.25" customHeight="1" x14ac:dyDescent="0.75">
      <c r="P274" s="19"/>
    </row>
    <row r="275" spans="16:16" ht="14.25" customHeight="1" x14ac:dyDescent="0.75">
      <c r="P275" s="19"/>
    </row>
    <row r="276" spans="16:16" ht="14.25" customHeight="1" x14ac:dyDescent="0.75">
      <c r="P276" s="19"/>
    </row>
    <row r="277" spans="16:16" ht="14.25" customHeight="1" x14ac:dyDescent="0.75">
      <c r="P277" s="19"/>
    </row>
    <row r="278" spans="16:16" ht="14.25" customHeight="1" x14ac:dyDescent="0.75">
      <c r="P278" s="19"/>
    </row>
    <row r="279" spans="16:16" ht="14.25" customHeight="1" x14ac:dyDescent="0.75">
      <c r="P279" s="19"/>
    </row>
    <row r="280" spans="16:16" ht="14.25" customHeight="1" x14ac:dyDescent="0.75">
      <c r="P280" s="19"/>
    </row>
    <row r="281" spans="16:16" ht="14.25" customHeight="1" x14ac:dyDescent="0.75">
      <c r="P281" s="19"/>
    </row>
    <row r="282" spans="16:16" ht="14.25" customHeight="1" x14ac:dyDescent="0.75">
      <c r="P282" s="19"/>
    </row>
    <row r="283" spans="16:16" ht="14.25" customHeight="1" x14ac:dyDescent="0.75">
      <c r="P283" s="19"/>
    </row>
    <row r="284" spans="16:16" ht="14.25" customHeight="1" x14ac:dyDescent="0.75">
      <c r="P284" s="19"/>
    </row>
    <row r="285" spans="16:16" ht="14.25" customHeight="1" x14ac:dyDescent="0.75">
      <c r="P285" s="19"/>
    </row>
    <row r="286" spans="16:16" ht="14.25" customHeight="1" x14ac:dyDescent="0.75">
      <c r="P286" s="19"/>
    </row>
    <row r="287" spans="16:16" ht="14.25" customHeight="1" x14ac:dyDescent="0.75">
      <c r="P287" s="19"/>
    </row>
    <row r="288" spans="16:16" ht="14.25" customHeight="1" x14ac:dyDescent="0.75">
      <c r="P288" s="19"/>
    </row>
    <row r="289" spans="16:16" ht="14.25" customHeight="1" x14ac:dyDescent="0.75">
      <c r="P289" s="19"/>
    </row>
    <row r="290" spans="16:16" ht="14.25" customHeight="1" x14ac:dyDescent="0.75">
      <c r="P290" s="19"/>
    </row>
    <row r="291" spans="16:16" ht="14.25" customHeight="1" x14ac:dyDescent="0.75">
      <c r="P291" s="19"/>
    </row>
    <row r="292" spans="16:16" ht="14.25" customHeight="1" x14ac:dyDescent="0.75">
      <c r="P292" s="19"/>
    </row>
    <row r="293" spans="16:16" ht="14.25" customHeight="1" x14ac:dyDescent="0.75">
      <c r="P293" s="19"/>
    </row>
    <row r="294" spans="16:16" ht="14.25" customHeight="1" x14ac:dyDescent="0.75">
      <c r="P294" s="19"/>
    </row>
    <row r="295" spans="16:16" ht="14.25" customHeight="1" x14ac:dyDescent="0.75">
      <c r="P295" s="19"/>
    </row>
    <row r="296" spans="16:16" ht="14.25" customHeight="1" x14ac:dyDescent="0.75">
      <c r="P296" s="19"/>
    </row>
    <row r="297" spans="16:16" ht="14.25" customHeight="1" x14ac:dyDescent="0.75">
      <c r="P297" s="19"/>
    </row>
    <row r="298" spans="16:16" ht="14.25" customHeight="1" x14ac:dyDescent="0.75">
      <c r="P298" s="19"/>
    </row>
    <row r="299" spans="16:16" ht="14.25" customHeight="1" x14ac:dyDescent="0.75">
      <c r="P299" s="19"/>
    </row>
    <row r="300" spans="16:16" ht="14.25" customHeight="1" x14ac:dyDescent="0.75">
      <c r="P300" s="19"/>
    </row>
    <row r="301" spans="16:16" ht="14.25" customHeight="1" x14ac:dyDescent="0.75">
      <c r="P301" s="19"/>
    </row>
    <row r="302" spans="16:16" ht="14.25" customHeight="1" x14ac:dyDescent="0.75">
      <c r="P302" s="19"/>
    </row>
    <row r="303" spans="16:16" ht="14.25" customHeight="1" x14ac:dyDescent="0.75">
      <c r="P303" s="19"/>
    </row>
    <row r="304" spans="16:16" ht="14.25" customHeight="1" x14ac:dyDescent="0.75">
      <c r="P304" s="19"/>
    </row>
    <row r="305" spans="16:16" ht="14.25" customHeight="1" x14ac:dyDescent="0.75">
      <c r="P305" s="19"/>
    </row>
    <row r="306" spans="16:16" ht="14.25" customHeight="1" x14ac:dyDescent="0.75">
      <c r="P306" s="19"/>
    </row>
    <row r="307" spans="16:16" ht="14.25" customHeight="1" x14ac:dyDescent="0.75">
      <c r="P307" s="19"/>
    </row>
    <row r="308" spans="16:16" ht="14.25" customHeight="1" x14ac:dyDescent="0.75">
      <c r="P308" s="19"/>
    </row>
    <row r="309" spans="16:16" ht="14.25" customHeight="1" x14ac:dyDescent="0.75">
      <c r="P309" s="19"/>
    </row>
    <row r="310" spans="16:16" ht="14.25" customHeight="1" x14ac:dyDescent="0.75">
      <c r="P310" s="19"/>
    </row>
    <row r="311" spans="16:16" ht="14.25" customHeight="1" x14ac:dyDescent="0.75">
      <c r="P311" s="19"/>
    </row>
    <row r="312" spans="16:16" ht="14.25" customHeight="1" x14ac:dyDescent="0.75">
      <c r="P312" s="19"/>
    </row>
    <row r="313" spans="16:16" ht="14.25" customHeight="1" x14ac:dyDescent="0.75">
      <c r="P313" s="19"/>
    </row>
    <row r="314" spans="16:16" ht="14.25" customHeight="1" x14ac:dyDescent="0.75">
      <c r="P314" s="19"/>
    </row>
    <row r="315" spans="16:16" ht="14.25" customHeight="1" x14ac:dyDescent="0.75">
      <c r="P315" s="19"/>
    </row>
    <row r="316" spans="16:16" ht="14.25" customHeight="1" x14ac:dyDescent="0.75">
      <c r="P316" s="19"/>
    </row>
    <row r="317" spans="16:16" ht="14.25" customHeight="1" x14ac:dyDescent="0.75">
      <c r="P317" s="19"/>
    </row>
    <row r="318" spans="16:16" ht="14.25" customHeight="1" x14ac:dyDescent="0.75">
      <c r="P318" s="19"/>
    </row>
    <row r="319" spans="16:16" ht="14.25" customHeight="1" x14ac:dyDescent="0.75">
      <c r="P319" s="19"/>
    </row>
    <row r="320" spans="16:16" ht="14.25" customHeight="1" x14ac:dyDescent="0.75">
      <c r="P320" s="19"/>
    </row>
    <row r="321" spans="16:16" ht="14.25" customHeight="1" x14ac:dyDescent="0.75">
      <c r="P321" s="19"/>
    </row>
    <row r="322" spans="16:16" ht="14.25" customHeight="1" x14ac:dyDescent="0.75">
      <c r="P322" s="19"/>
    </row>
    <row r="323" spans="16:16" ht="14.25" customHeight="1" x14ac:dyDescent="0.75">
      <c r="P323" s="19"/>
    </row>
    <row r="324" spans="16:16" ht="14.25" customHeight="1" x14ac:dyDescent="0.75">
      <c r="P324" s="19"/>
    </row>
    <row r="325" spans="16:16" ht="14.25" customHeight="1" x14ac:dyDescent="0.75">
      <c r="P325" s="19"/>
    </row>
    <row r="326" spans="16:16" ht="14.25" customHeight="1" x14ac:dyDescent="0.75">
      <c r="P326" s="19"/>
    </row>
    <row r="327" spans="16:16" ht="14.25" customHeight="1" x14ac:dyDescent="0.75">
      <c r="P327" s="19"/>
    </row>
    <row r="328" spans="16:16" ht="14.25" customHeight="1" x14ac:dyDescent="0.75">
      <c r="P328" s="19"/>
    </row>
    <row r="329" spans="16:16" ht="14.25" customHeight="1" x14ac:dyDescent="0.75">
      <c r="P329" s="19"/>
    </row>
    <row r="330" spans="16:16" ht="14.25" customHeight="1" x14ac:dyDescent="0.75">
      <c r="P330" s="19"/>
    </row>
    <row r="331" spans="16:16" ht="14.25" customHeight="1" x14ac:dyDescent="0.75">
      <c r="P331" s="19"/>
    </row>
    <row r="332" spans="16:16" ht="14.25" customHeight="1" x14ac:dyDescent="0.75">
      <c r="P332" s="19"/>
    </row>
    <row r="333" spans="16:16" ht="14.25" customHeight="1" x14ac:dyDescent="0.75">
      <c r="P333" s="19"/>
    </row>
    <row r="334" spans="16:16" ht="14.25" customHeight="1" x14ac:dyDescent="0.75">
      <c r="P334" s="19"/>
    </row>
    <row r="335" spans="16:16" ht="14.25" customHeight="1" x14ac:dyDescent="0.75">
      <c r="P335" s="19"/>
    </row>
    <row r="336" spans="16:16" ht="14.25" customHeight="1" x14ac:dyDescent="0.75">
      <c r="P336" s="19"/>
    </row>
    <row r="337" spans="16:16" ht="14.25" customHeight="1" x14ac:dyDescent="0.75">
      <c r="P337" s="19"/>
    </row>
    <row r="338" spans="16:16" ht="14.25" customHeight="1" x14ac:dyDescent="0.75">
      <c r="P338" s="19"/>
    </row>
    <row r="339" spans="16:16" ht="14.25" customHeight="1" x14ac:dyDescent="0.75">
      <c r="P339" s="19"/>
    </row>
    <row r="340" spans="16:16" ht="14.25" customHeight="1" x14ac:dyDescent="0.75">
      <c r="P340" s="19"/>
    </row>
    <row r="341" spans="16:16" ht="14.25" customHeight="1" x14ac:dyDescent="0.75">
      <c r="P341" s="19"/>
    </row>
    <row r="342" spans="16:16" ht="14.25" customHeight="1" x14ac:dyDescent="0.75">
      <c r="P342" s="19"/>
    </row>
    <row r="343" spans="16:16" ht="14.25" customHeight="1" x14ac:dyDescent="0.75">
      <c r="P343" s="19"/>
    </row>
    <row r="344" spans="16:16" ht="14.25" customHeight="1" x14ac:dyDescent="0.75">
      <c r="P344" s="19"/>
    </row>
    <row r="345" spans="16:16" ht="14.25" customHeight="1" x14ac:dyDescent="0.75">
      <c r="P345" s="19"/>
    </row>
    <row r="346" spans="16:16" ht="14.25" customHeight="1" x14ac:dyDescent="0.75">
      <c r="P346" s="19"/>
    </row>
    <row r="347" spans="16:16" ht="14.25" customHeight="1" x14ac:dyDescent="0.75">
      <c r="P347" s="19"/>
    </row>
    <row r="348" spans="16:16" ht="14.25" customHeight="1" x14ac:dyDescent="0.75">
      <c r="P348" s="19"/>
    </row>
    <row r="349" spans="16:16" ht="14.25" customHeight="1" x14ac:dyDescent="0.75">
      <c r="P349" s="19"/>
    </row>
    <row r="350" spans="16:16" ht="14.25" customHeight="1" x14ac:dyDescent="0.75">
      <c r="P350" s="19"/>
    </row>
    <row r="351" spans="16:16" ht="14.25" customHeight="1" x14ac:dyDescent="0.75">
      <c r="P351" s="19"/>
    </row>
    <row r="352" spans="16:16" ht="14.25" customHeight="1" x14ac:dyDescent="0.75">
      <c r="P352" s="19"/>
    </row>
    <row r="353" spans="16:16" ht="14.25" customHeight="1" x14ac:dyDescent="0.75">
      <c r="P353" s="19"/>
    </row>
    <row r="354" spans="16:16" ht="14.25" customHeight="1" x14ac:dyDescent="0.75">
      <c r="P354" s="19"/>
    </row>
    <row r="355" spans="16:16" ht="14.25" customHeight="1" x14ac:dyDescent="0.75">
      <c r="P355" s="19"/>
    </row>
    <row r="356" spans="16:16" ht="14.25" customHeight="1" x14ac:dyDescent="0.75">
      <c r="P356" s="19"/>
    </row>
    <row r="357" spans="16:16" ht="14.25" customHeight="1" x14ac:dyDescent="0.75">
      <c r="P357" s="19"/>
    </row>
    <row r="358" spans="16:16" ht="14.25" customHeight="1" x14ac:dyDescent="0.75">
      <c r="P358" s="19"/>
    </row>
    <row r="359" spans="16:16" ht="14.25" customHeight="1" x14ac:dyDescent="0.75">
      <c r="P359" s="19"/>
    </row>
    <row r="360" spans="16:16" ht="14.25" customHeight="1" x14ac:dyDescent="0.75">
      <c r="P360" s="19"/>
    </row>
    <row r="361" spans="16:16" ht="14.25" customHeight="1" x14ac:dyDescent="0.75">
      <c r="P361" s="19"/>
    </row>
    <row r="362" spans="16:16" ht="14.25" customHeight="1" x14ac:dyDescent="0.75">
      <c r="P362" s="19"/>
    </row>
    <row r="363" spans="16:16" ht="14.25" customHeight="1" x14ac:dyDescent="0.75">
      <c r="P363" s="19"/>
    </row>
    <row r="364" spans="16:16" ht="14.25" customHeight="1" x14ac:dyDescent="0.75">
      <c r="P364" s="19"/>
    </row>
    <row r="365" spans="16:16" ht="14.25" customHeight="1" x14ac:dyDescent="0.75">
      <c r="P365" s="19"/>
    </row>
    <row r="366" spans="16:16" ht="14.25" customHeight="1" x14ac:dyDescent="0.75">
      <c r="P366" s="19"/>
    </row>
    <row r="367" spans="16:16" ht="14.25" customHeight="1" x14ac:dyDescent="0.75">
      <c r="P367" s="19"/>
    </row>
    <row r="368" spans="16:16" ht="14.25" customHeight="1" x14ac:dyDescent="0.75">
      <c r="P368" s="19"/>
    </row>
    <row r="369" spans="16:16" ht="14.25" customHeight="1" x14ac:dyDescent="0.75">
      <c r="P369" s="19"/>
    </row>
    <row r="370" spans="16:16" ht="14.25" customHeight="1" x14ac:dyDescent="0.75">
      <c r="P370" s="19"/>
    </row>
    <row r="371" spans="16:16" ht="14.25" customHeight="1" x14ac:dyDescent="0.75">
      <c r="P371" s="19"/>
    </row>
    <row r="372" spans="16:16" ht="14.25" customHeight="1" x14ac:dyDescent="0.75">
      <c r="P372" s="19"/>
    </row>
    <row r="373" spans="16:16" ht="14.25" customHeight="1" x14ac:dyDescent="0.75">
      <c r="P373" s="19"/>
    </row>
    <row r="374" spans="16:16" ht="14.25" customHeight="1" x14ac:dyDescent="0.75">
      <c r="P374" s="19"/>
    </row>
    <row r="375" spans="16:16" ht="14.25" customHeight="1" x14ac:dyDescent="0.75">
      <c r="P375" s="19"/>
    </row>
    <row r="376" spans="16:16" ht="14.25" customHeight="1" x14ac:dyDescent="0.75">
      <c r="P376" s="19"/>
    </row>
    <row r="377" spans="16:16" ht="14.25" customHeight="1" x14ac:dyDescent="0.75">
      <c r="P377" s="19"/>
    </row>
    <row r="378" spans="16:16" ht="14.25" customHeight="1" x14ac:dyDescent="0.75">
      <c r="P378" s="19"/>
    </row>
    <row r="379" spans="16:16" ht="14.25" customHeight="1" x14ac:dyDescent="0.75">
      <c r="P379" s="19"/>
    </row>
    <row r="380" spans="16:16" ht="14.25" customHeight="1" x14ac:dyDescent="0.75">
      <c r="P380" s="19"/>
    </row>
    <row r="381" spans="16:16" ht="14.25" customHeight="1" x14ac:dyDescent="0.75">
      <c r="P381" s="19"/>
    </row>
    <row r="382" spans="16:16" ht="14.25" customHeight="1" x14ac:dyDescent="0.75">
      <c r="P382" s="19"/>
    </row>
    <row r="383" spans="16:16" ht="14.25" customHeight="1" x14ac:dyDescent="0.75">
      <c r="P383" s="19"/>
    </row>
    <row r="384" spans="16:16" ht="14.25" customHeight="1" x14ac:dyDescent="0.75">
      <c r="P384" s="19"/>
    </row>
    <row r="385" spans="16:16" ht="14.25" customHeight="1" x14ac:dyDescent="0.75">
      <c r="P385" s="19"/>
    </row>
    <row r="386" spans="16:16" ht="14.25" customHeight="1" x14ac:dyDescent="0.75">
      <c r="P386" s="19"/>
    </row>
    <row r="387" spans="16:16" ht="14.25" customHeight="1" x14ac:dyDescent="0.75">
      <c r="P387" s="19"/>
    </row>
    <row r="388" spans="16:16" ht="14.25" customHeight="1" x14ac:dyDescent="0.75">
      <c r="P388" s="19"/>
    </row>
    <row r="389" spans="16:16" ht="14.25" customHeight="1" x14ac:dyDescent="0.75">
      <c r="P389" s="19"/>
    </row>
    <row r="390" spans="16:16" ht="14.25" customHeight="1" x14ac:dyDescent="0.75">
      <c r="P390" s="19"/>
    </row>
    <row r="391" spans="16:16" ht="14.25" customHeight="1" x14ac:dyDescent="0.75">
      <c r="P391" s="19"/>
    </row>
    <row r="392" spans="16:16" ht="14.25" customHeight="1" x14ac:dyDescent="0.75">
      <c r="P392" s="19"/>
    </row>
    <row r="393" spans="16:16" ht="14.25" customHeight="1" x14ac:dyDescent="0.75">
      <c r="P393" s="19"/>
    </row>
    <row r="394" spans="16:16" ht="14.25" customHeight="1" x14ac:dyDescent="0.75">
      <c r="P394" s="19"/>
    </row>
    <row r="395" spans="16:16" ht="14.25" customHeight="1" x14ac:dyDescent="0.75">
      <c r="P395" s="19"/>
    </row>
    <row r="396" spans="16:16" ht="14.25" customHeight="1" x14ac:dyDescent="0.75">
      <c r="P396" s="19"/>
    </row>
    <row r="397" spans="16:16" ht="14.25" customHeight="1" x14ac:dyDescent="0.75">
      <c r="P397" s="19"/>
    </row>
    <row r="398" spans="16:16" ht="14.25" customHeight="1" x14ac:dyDescent="0.75">
      <c r="P398" s="19"/>
    </row>
    <row r="399" spans="16:16" ht="14.25" customHeight="1" x14ac:dyDescent="0.75">
      <c r="P399" s="19"/>
    </row>
    <row r="400" spans="16:16" ht="14.25" customHeight="1" x14ac:dyDescent="0.75">
      <c r="P400" s="19"/>
    </row>
    <row r="401" spans="16:16" ht="14.25" customHeight="1" x14ac:dyDescent="0.75">
      <c r="P401" s="19"/>
    </row>
    <row r="402" spans="16:16" ht="14.25" customHeight="1" x14ac:dyDescent="0.75">
      <c r="P402" s="19"/>
    </row>
    <row r="403" spans="16:16" ht="14.25" customHeight="1" x14ac:dyDescent="0.75">
      <c r="P403" s="19"/>
    </row>
    <row r="404" spans="16:16" ht="14.25" customHeight="1" x14ac:dyDescent="0.75">
      <c r="P404" s="19"/>
    </row>
    <row r="405" spans="16:16" ht="14.25" customHeight="1" x14ac:dyDescent="0.75">
      <c r="P405" s="19"/>
    </row>
    <row r="406" spans="16:16" ht="14.25" customHeight="1" x14ac:dyDescent="0.75">
      <c r="P406" s="19"/>
    </row>
    <row r="407" spans="16:16" ht="14.25" customHeight="1" x14ac:dyDescent="0.75">
      <c r="P407" s="19"/>
    </row>
    <row r="408" spans="16:16" ht="14.25" customHeight="1" x14ac:dyDescent="0.75">
      <c r="P408" s="19"/>
    </row>
    <row r="409" spans="16:16" ht="14.25" customHeight="1" x14ac:dyDescent="0.75">
      <c r="P409" s="19"/>
    </row>
    <row r="410" spans="16:16" ht="14.25" customHeight="1" x14ac:dyDescent="0.75">
      <c r="P410" s="19"/>
    </row>
    <row r="411" spans="16:16" ht="14.25" customHeight="1" x14ac:dyDescent="0.75">
      <c r="P411" s="19"/>
    </row>
    <row r="412" spans="16:16" ht="14.25" customHeight="1" x14ac:dyDescent="0.75">
      <c r="P412" s="19"/>
    </row>
    <row r="413" spans="16:16" ht="14.25" customHeight="1" x14ac:dyDescent="0.75">
      <c r="P413" s="19"/>
    </row>
    <row r="414" spans="16:16" ht="14.25" customHeight="1" x14ac:dyDescent="0.75">
      <c r="P414" s="19"/>
    </row>
    <row r="415" spans="16:16" ht="14.25" customHeight="1" x14ac:dyDescent="0.75">
      <c r="P415" s="19"/>
    </row>
    <row r="416" spans="16:16" ht="14.25" customHeight="1" x14ac:dyDescent="0.75">
      <c r="P416" s="19"/>
    </row>
    <row r="417" spans="16:16" ht="14.25" customHeight="1" x14ac:dyDescent="0.75">
      <c r="P417" s="19"/>
    </row>
    <row r="418" spans="16:16" ht="14.25" customHeight="1" x14ac:dyDescent="0.75">
      <c r="P418" s="19"/>
    </row>
    <row r="419" spans="16:16" ht="14.25" customHeight="1" x14ac:dyDescent="0.75">
      <c r="P419" s="19"/>
    </row>
    <row r="420" spans="16:16" ht="14.25" customHeight="1" x14ac:dyDescent="0.75">
      <c r="P420" s="19"/>
    </row>
    <row r="421" spans="16:16" ht="14.25" customHeight="1" x14ac:dyDescent="0.75">
      <c r="P421" s="19"/>
    </row>
    <row r="422" spans="16:16" ht="14.25" customHeight="1" x14ac:dyDescent="0.75">
      <c r="P422" s="19"/>
    </row>
    <row r="423" spans="16:16" ht="14.25" customHeight="1" x14ac:dyDescent="0.75">
      <c r="P423" s="19"/>
    </row>
    <row r="424" spans="16:16" ht="14.25" customHeight="1" x14ac:dyDescent="0.75">
      <c r="P424" s="19"/>
    </row>
    <row r="425" spans="16:16" ht="14.25" customHeight="1" x14ac:dyDescent="0.75">
      <c r="P425" s="19"/>
    </row>
    <row r="426" spans="16:16" ht="14.25" customHeight="1" x14ac:dyDescent="0.75">
      <c r="P426" s="19"/>
    </row>
    <row r="427" spans="16:16" ht="14.25" customHeight="1" x14ac:dyDescent="0.75">
      <c r="P427" s="19"/>
    </row>
    <row r="428" spans="16:16" ht="14.25" customHeight="1" x14ac:dyDescent="0.75">
      <c r="P428" s="19"/>
    </row>
    <row r="429" spans="16:16" ht="14.25" customHeight="1" x14ac:dyDescent="0.75">
      <c r="P429" s="19"/>
    </row>
    <row r="430" spans="16:16" ht="14.25" customHeight="1" x14ac:dyDescent="0.75">
      <c r="P430" s="19"/>
    </row>
    <row r="431" spans="16:16" ht="14.25" customHeight="1" x14ac:dyDescent="0.75">
      <c r="P431" s="19"/>
    </row>
    <row r="432" spans="16:16" ht="14.25" customHeight="1" x14ac:dyDescent="0.75">
      <c r="P432" s="19"/>
    </row>
    <row r="433" spans="16:16" ht="14.25" customHeight="1" x14ac:dyDescent="0.75">
      <c r="P433" s="19"/>
    </row>
    <row r="434" spans="16:16" ht="14.25" customHeight="1" x14ac:dyDescent="0.75">
      <c r="P434" s="19"/>
    </row>
    <row r="435" spans="16:16" ht="14.25" customHeight="1" x14ac:dyDescent="0.75">
      <c r="P435" s="19"/>
    </row>
    <row r="436" spans="16:16" ht="14.25" customHeight="1" x14ac:dyDescent="0.75">
      <c r="P436" s="19"/>
    </row>
    <row r="437" spans="16:16" ht="14.25" customHeight="1" x14ac:dyDescent="0.75">
      <c r="P437" s="19"/>
    </row>
    <row r="438" spans="16:16" ht="14.25" customHeight="1" x14ac:dyDescent="0.75">
      <c r="P438" s="19"/>
    </row>
    <row r="439" spans="16:16" ht="14.25" customHeight="1" x14ac:dyDescent="0.75">
      <c r="P439" s="19"/>
    </row>
    <row r="440" spans="16:16" ht="14.25" customHeight="1" x14ac:dyDescent="0.75">
      <c r="P440" s="19"/>
    </row>
    <row r="441" spans="16:16" ht="14.25" customHeight="1" x14ac:dyDescent="0.75">
      <c r="P441" s="19"/>
    </row>
    <row r="442" spans="16:16" ht="14.25" customHeight="1" x14ac:dyDescent="0.75">
      <c r="P442" s="19"/>
    </row>
    <row r="443" spans="16:16" ht="14.25" customHeight="1" x14ac:dyDescent="0.75">
      <c r="P443" s="19"/>
    </row>
    <row r="444" spans="16:16" ht="14.25" customHeight="1" x14ac:dyDescent="0.75">
      <c r="P444" s="19"/>
    </row>
    <row r="445" spans="16:16" ht="14.25" customHeight="1" x14ac:dyDescent="0.75">
      <c r="P445" s="19"/>
    </row>
    <row r="446" spans="16:16" ht="14.25" customHeight="1" x14ac:dyDescent="0.75">
      <c r="P446" s="19"/>
    </row>
    <row r="447" spans="16:16" ht="14.25" customHeight="1" x14ac:dyDescent="0.75">
      <c r="P447" s="19"/>
    </row>
    <row r="448" spans="16:16" ht="14.25" customHeight="1" x14ac:dyDescent="0.75">
      <c r="P448" s="19"/>
    </row>
    <row r="449" spans="16:16" ht="14.25" customHeight="1" x14ac:dyDescent="0.75">
      <c r="P449" s="19"/>
    </row>
    <row r="450" spans="16:16" ht="14.25" customHeight="1" x14ac:dyDescent="0.75">
      <c r="P450" s="19"/>
    </row>
    <row r="451" spans="16:16" ht="14.25" customHeight="1" x14ac:dyDescent="0.75">
      <c r="P451" s="19"/>
    </row>
    <row r="452" spans="16:16" ht="14.25" customHeight="1" x14ac:dyDescent="0.75">
      <c r="P452" s="19"/>
    </row>
    <row r="453" spans="16:16" ht="14.25" customHeight="1" x14ac:dyDescent="0.75">
      <c r="P453" s="19"/>
    </row>
    <row r="454" spans="16:16" ht="14.25" customHeight="1" x14ac:dyDescent="0.75">
      <c r="P454" s="19"/>
    </row>
    <row r="455" spans="16:16" ht="14.25" customHeight="1" x14ac:dyDescent="0.75">
      <c r="P455" s="19"/>
    </row>
    <row r="456" spans="16:16" ht="14.25" customHeight="1" x14ac:dyDescent="0.75">
      <c r="P456" s="19"/>
    </row>
    <row r="457" spans="16:16" ht="14.25" customHeight="1" x14ac:dyDescent="0.75">
      <c r="P457" s="19"/>
    </row>
    <row r="458" spans="16:16" ht="14.25" customHeight="1" x14ac:dyDescent="0.75">
      <c r="P458" s="19"/>
    </row>
    <row r="459" spans="16:16" ht="14.25" customHeight="1" x14ac:dyDescent="0.75">
      <c r="P459" s="19"/>
    </row>
    <row r="460" spans="16:16" ht="14.25" customHeight="1" x14ac:dyDescent="0.75">
      <c r="P460" s="19"/>
    </row>
    <row r="461" spans="16:16" ht="14.25" customHeight="1" x14ac:dyDescent="0.75">
      <c r="P461" s="19"/>
    </row>
    <row r="462" spans="16:16" ht="14.25" customHeight="1" x14ac:dyDescent="0.75">
      <c r="P462" s="19"/>
    </row>
    <row r="463" spans="16:16" ht="14.25" customHeight="1" x14ac:dyDescent="0.75">
      <c r="P463" s="19"/>
    </row>
    <row r="464" spans="16:16" ht="14.25" customHeight="1" x14ac:dyDescent="0.75">
      <c r="P464" s="19"/>
    </row>
    <row r="465" spans="16:16" ht="14.25" customHeight="1" x14ac:dyDescent="0.75">
      <c r="P465" s="19"/>
    </row>
    <row r="466" spans="16:16" ht="14.25" customHeight="1" x14ac:dyDescent="0.75">
      <c r="P466" s="19"/>
    </row>
    <row r="467" spans="16:16" ht="14.25" customHeight="1" x14ac:dyDescent="0.75">
      <c r="P467" s="19"/>
    </row>
    <row r="468" spans="16:16" ht="14.25" customHeight="1" x14ac:dyDescent="0.75">
      <c r="P468" s="19"/>
    </row>
    <row r="469" spans="16:16" ht="14.25" customHeight="1" x14ac:dyDescent="0.75">
      <c r="P469" s="19"/>
    </row>
    <row r="470" spans="16:16" ht="14.25" customHeight="1" x14ac:dyDescent="0.75">
      <c r="P470" s="19"/>
    </row>
    <row r="471" spans="16:16" ht="14.25" customHeight="1" x14ac:dyDescent="0.75">
      <c r="P471" s="19"/>
    </row>
    <row r="472" spans="16:16" ht="14.25" customHeight="1" x14ac:dyDescent="0.75">
      <c r="P472" s="19"/>
    </row>
    <row r="473" spans="16:16" ht="14.25" customHeight="1" x14ac:dyDescent="0.75">
      <c r="P473" s="19"/>
    </row>
    <row r="474" spans="16:16" ht="14.25" customHeight="1" x14ac:dyDescent="0.75">
      <c r="P474" s="19"/>
    </row>
    <row r="475" spans="16:16" ht="14.25" customHeight="1" x14ac:dyDescent="0.75">
      <c r="P475" s="19"/>
    </row>
    <row r="476" spans="16:16" ht="14.25" customHeight="1" x14ac:dyDescent="0.75">
      <c r="P476" s="19"/>
    </row>
    <row r="477" spans="16:16" ht="14.25" customHeight="1" x14ac:dyDescent="0.75">
      <c r="P477" s="19"/>
    </row>
    <row r="478" spans="16:16" ht="14.25" customHeight="1" x14ac:dyDescent="0.75">
      <c r="P478" s="19"/>
    </row>
    <row r="479" spans="16:16" ht="14.25" customHeight="1" x14ac:dyDescent="0.75">
      <c r="P479" s="19"/>
    </row>
    <row r="480" spans="16:16" ht="14.25" customHeight="1" x14ac:dyDescent="0.75">
      <c r="P480" s="19"/>
    </row>
    <row r="481" spans="16:16" ht="14.25" customHeight="1" x14ac:dyDescent="0.75">
      <c r="P481" s="19"/>
    </row>
    <row r="482" spans="16:16" ht="14.25" customHeight="1" x14ac:dyDescent="0.75">
      <c r="P482" s="19"/>
    </row>
    <row r="483" spans="16:16" ht="14.25" customHeight="1" x14ac:dyDescent="0.75">
      <c r="P483" s="19"/>
    </row>
    <row r="484" spans="16:16" ht="14.25" customHeight="1" x14ac:dyDescent="0.75">
      <c r="P484" s="19"/>
    </row>
    <row r="485" spans="16:16" ht="14.25" customHeight="1" x14ac:dyDescent="0.75">
      <c r="P485" s="19"/>
    </row>
    <row r="486" spans="16:16" ht="14.25" customHeight="1" x14ac:dyDescent="0.75">
      <c r="P486" s="19"/>
    </row>
    <row r="487" spans="16:16" ht="14.25" customHeight="1" x14ac:dyDescent="0.75">
      <c r="P487" s="19"/>
    </row>
    <row r="488" spans="16:16" ht="14.25" customHeight="1" x14ac:dyDescent="0.75">
      <c r="P488" s="19"/>
    </row>
    <row r="489" spans="16:16" ht="14.25" customHeight="1" x14ac:dyDescent="0.75">
      <c r="P489" s="19"/>
    </row>
    <row r="490" spans="16:16" ht="14.25" customHeight="1" x14ac:dyDescent="0.75">
      <c r="P490" s="19"/>
    </row>
    <row r="491" spans="16:16" ht="14.25" customHeight="1" x14ac:dyDescent="0.75">
      <c r="P491" s="19"/>
    </row>
    <row r="492" spans="16:16" ht="14.25" customHeight="1" x14ac:dyDescent="0.75">
      <c r="P492" s="19"/>
    </row>
    <row r="493" spans="16:16" ht="14.25" customHeight="1" x14ac:dyDescent="0.75">
      <c r="P493" s="19"/>
    </row>
    <row r="494" spans="16:16" ht="14.25" customHeight="1" x14ac:dyDescent="0.75">
      <c r="P494" s="19"/>
    </row>
    <row r="495" spans="16:16" ht="14.25" customHeight="1" x14ac:dyDescent="0.75">
      <c r="P495" s="19"/>
    </row>
    <row r="496" spans="16:16" ht="14.25" customHeight="1" x14ac:dyDescent="0.75">
      <c r="P496" s="19"/>
    </row>
    <row r="497" spans="16:16" ht="14.25" customHeight="1" x14ac:dyDescent="0.75">
      <c r="P497" s="19"/>
    </row>
    <row r="498" spans="16:16" ht="14.25" customHeight="1" x14ac:dyDescent="0.75">
      <c r="P498" s="19"/>
    </row>
    <row r="499" spans="16:16" ht="14.25" customHeight="1" x14ac:dyDescent="0.75">
      <c r="P499" s="19"/>
    </row>
    <row r="500" spans="16:16" ht="14.25" customHeight="1" x14ac:dyDescent="0.75">
      <c r="P500" s="19"/>
    </row>
    <row r="501" spans="16:16" ht="14.25" customHeight="1" x14ac:dyDescent="0.75">
      <c r="P501" s="19"/>
    </row>
    <row r="502" spans="16:16" ht="14.25" customHeight="1" x14ac:dyDescent="0.75">
      <c r="P502" s="19"/>
    </row>
    <row r="503" spans="16:16" ht="14.25" customHeight="1" x14ac:dyDescent="0.75">
      <c r="P503" s="19"/>
    </row>
    <row r="504" spans="16:16" ht="14.25" customHeight="1" x14ac:dyDescent="0.75">
      <c r="P504" s="19"/>
    </row>
    <row r="505" spans="16:16" ht="14.25" customHeight="1" x14ac:dyDescent="0.75">
      <c r="P505" s="19"/>
    </row>
    <row r="506" spans="16:16" ht="14.25" customHeight="1" x14ac:dyDescent="0.75">
      <c r="P506" s="19"/>
    </row>
    <row r="507" spans="16:16" ht="14.25" customHeight="1" x14ac:dyDescent="0.75">
      <c r="P507" s="19"/>
    </row>
    <row r="508" spans="16:16" ht="14.25" customHeight="1" x14ac:dyDescent="0.75">
      <c r="P508" s="19"/>
    </row>
    <row r="509" spans="16:16" ht="14.25" customHeight="1" x14ac:dyDescent="0.75">
      <c r="P509" s="19"/>
    </row>
    <row r="510" spans="16:16" ht="14.25" customHeight="1" x14ac:dyDescent="0.75">
      <c r="P510" s="19"/>
    </row>
    <row r="511" spans="16:16" ht="14.25" customHeight="1" x14ac:dyDescent="0.75">
      <c r="P511" s="19"/>
    </row>
    <row r="512" spans="16:16" ht="14.25" customHeight="1" x14ac:dyDescent="0.75">
      <c r="P512" s="19"/>
    </row>
    <row r="513" spans="16:16" ht="14.25" customHeight="1" x14ac:dyDescent="0.75">
      <c r="P513" s="19"/>
    </row>
    <row r="514" spans="16:16" ht="14.25" customHeight="1" x14ac:dyDescent="0.75">
      <c r="P514" s="19"/>
    </row>
    <row r="515" spans="16:16" ht="14.25" customHeight="1" x14ac:dyDescent="0.75">
      <c r="P515" s="19"/>
    </row>
    <row r="516" spans="16:16" ht="14.25" customHeight="1" x14ac:dyDescent="0.75">
      <c r="P516" s="19"/>
    </row>
    <row r="517" spans="16:16" ht="14.25" customHeight="1" x14ac:dyDescent="0.75">
      <c r="P517" s="19"/>
    </row>
    <row r="518" spans="16:16" ht="14.25" customHeight="1" x14ac:dyDescent="0.75">
      <c r="P518" s="19"/>
    </row>
    <row r="519" spans="16:16" ht="14.25" customHeight="1" x14ac:dyDescent="0.75">
      <c r="P519" s="19"/>
    </row>
    <row r="520" spans="16:16" ht="14.25" customHeight="1" x14ac:dyDescent="0.75">
      <c r="P520" s="19"/>
    </row>
    <row r="521" spans="16:16" ht="14.25" customHeight="1" x14ac:dyDescent="0.75">
      <c r="P521" s="19"/>
    </row>
    <row r="522" spans="16:16" ht="14.25" customHeight="1" x14ac:dyDescent="0.75">
      <c r="P522" s="19"/>
    </row>
    <row r="523" spans="16:16" ht="14.25" customHeight="1" x14ac:dyDescent="0.75">
      <c r="P523" s="19"/>
    </row>
    <row r="524" spans="16:16" ht="14.25" customHeight="1" x14ac:dyDescent="0.75">
      <c r="P524" s="19"/>
    </row>
    <row r="525" spans="16:16" ht="14.25" customHeight="1" x14ac:dyDescent="0.75">
      <c r="P525" s="19"/>
    </row>
    <row r="526" spans="16:16" ht="14.25" customHeight="1" x14ac:dyDescent="0.75">
      <c r="P526" s="19"/>
    </row>
    <row r="527" spans="16:16" ht="14.25" customHeight="1" x14ac:dyDescent="0.75">
      <c r="P527" s="19"/>
    </row>
    <row r="528" spans="16:16" ht="14.25" customHeight="1" x14ac:dyDescent="0.75">
      <c r="P528" s="19"/>
    </row>
    <row r="529" spans="16:16" ht="14.25" customHeight="1" x14ac:dyDescent="0.75">
      <c r="P529" s="19"/>
    </row>
    <row r="530" spans="16:16" ht="14.25" customHeight="1" x14ac:dyDescent="0.75">
      <c r="P530" s="19"/>
    </row>
    <row r="531" spans="16:16" ht="14.25" customHeight="1" x14ac:dyDescent="0.75">
      <c r="P531" s="19"/>
    </row>
    <row r="532" spans="16:16" ht="14.25" customHeight="1" x14ac:dyDescent="0.75">
      <c r="P532" s="19"/>
    </row>
    <row r="533" spans="16:16" ht="14.25" customHeight="1" x14ac:dyDescent="0.75">
      <c r="P533" s="19"/>
    </row>
    <row r="534" spans="16:16" ht="14.25" customHeight="1" x14ac:dyDescent="0.75">
      <c r="P534" s="19"/>
    </row>
    <row r="535" spans="16:16" ht="14.25" customHeight="1" x14ac:dyDescent="0.75">
      <c r="P535" s="19"/>
    </row>
    <row r="536" spans="16:16" ht="14.25" customHeight="1" x14ac:dyDescent="0.75">
      <c r="P536" s="19"/>
    </row>
    <row r="537" spans="16:16" ht="14.25" customHeight="1" x14ac:dyDescent="0.75">
      <c r="P537" s="19"/>
    </row>
    <row r="538" spans="16:16" ht="14.25" customHeight="1" x14ac:dyDescent="0.75">
      <c r="P538" s="19"/>
    </row>
    <row r="539" spans="16:16" ht="14.25" customHeight="1" x14ac:dyDescent="0.75">
      <c r="P539" s="19"/>
    </row>
    <row r="540" spans="16:16" ht="14.25" customHeight="1" x14ac:dyDescent="0.75">
      <c r="P540" s="19"/>
    </row>
    <row r="541" spans="16:16" ht="14.25" customHeight="1" x14ac:dyDescent="0.75">
      <c r="P541" s="19"/>
    </row>
    <row r="542" spans="16:16" ht="14.25" customHeight="1" x14ac:dyDescent="0.75">
      <c r="P542" s="19"/>
    </row>
    <row r="543" spans="16:16" ht="14.25" customHeight="1" x14ac:dyDescent="0.75">
      <c r="P543" s="19"/>
    </row>
    <row r="544" spans="16:16" ht="14.25" customHeight="1" x14ac:dyDescent="0.75">
      <c r="P544" s="19"/>
    </row>
    <row r="545" spans="16:16" ht="14.25" customHeight="1" x14ac:dyDescent="0.75">
      <c r="P545" s="19"/>
    </row>
    <row r="546" spans="16:16" ht="14.25" customHeight="1" x14ac:dyDescent="0.75">
      <c r="P546" s="19"/>
    </row>
    <row r="547" spans="16:16" ht="14.25" customHeight="1" x14ac:dyDescent="0.75">
      <c r="P547" s="19"/>
    </row>
    <row r="548" spans="16:16" ht="14.25" customHeight="1" x14ac:dyDescent="0.75">
      <c r="P548" s="19"/>
    </row>
    <row r="549" spans="16:16" ht="14.25" customHeight="1" x14ac:dyDescent="0.75">
      <c r="P549" s="19"/>
    </row>
    <row r="550" spans="16:16" ht="14.25" customHeight="1" x14ac:dyDescent="0.75">
      <c r="P550" s="19"/>
    </row>
    <row r="551" spans="16:16" ht="14.25" customHeight="1" x14ac:dyDescent="0.75">
      <c r="P551" s="19"/>
    </row>
    <row r="552" spans="16:16" ht="14.25" customHeight="1" x14ac:dyDescent="0.75">
      <c r="P552" s="19"/>
    </row>
    <row r="553" spans="16:16" ht="14.25" customHeight="1" x14ac:dyDescent="0.75">
      <c r="P553" s="19"/>
    </row>
    <row r="554" spans="16:16" ht="14.25" customHeight="1" x14ac:dyDescent="0.75">
      <c r="P554" s="19"/>
    </row>
    <row r="555" spans="16:16" ht="14.25" customHeight="1" x14ac:dyDescent="0.75">
      <c r="P555" s="19"/>
    </row>
    <row r="556" spans="16:16" ht="14.25" customHeight="1" x14ac:dyDescent="0.75">
      <c r="P556" s="19"/>
    </row>
    <row r="557" spans="16:16" ht="14.25" customHeight="1" x14ac:dyDescent="0.75">
      <c r="P557" s="19"/>
    </row>
    <row r="558" spans="16:16" ht="14.25" customHeight="1" x14ac:dyDescent="0.75">
      <c r="P558" s="19"/>
    </row>
    <row r="559" spans="16:16" ht="14.25" customHeight="1" x14ac:dyDescent="0.75">
      <c r="P559" s="19"/>
    </row>
    <row r="560" spans="16:16" ht="14.25" customHeight="1" x14ac:dyDescent="0.75">
      <c r="P560" s="19"/>
    </row>
    <row r="561" spans="16:16" ht="14.25" customHeight="1" x14ac:dyDescent="0.75">
      <c r="P561" s="19"/>
    </row>
    <row r="562" spans="16:16" ht="14.25" customHeight="1" x14ac:dyDescent="0.75">
      <c r="P562" s="19"/>
    </row>
    <row r="563" spans="16:16" ht="14.25" customHeight="1" x14ac:dyDescent="0.75">
      <c r="P563" s="19"/>
    </row>
    <row r="564" spans="16:16" ht="14.25" customHeight="1" x14ac:dyDescent="0.75">
      <c r="P564" s="19"/>
    </row>
    <row r="565" spans="16:16" ht="14.25" customHeight="1" x14ac:dyDescent="0.75">
      <c r="P565" s="19"/>
    </row>
    <row r="566" spans="16:16" ht="14.25" customHeight="1" x14ac:dyDescent="0.75">
      <c r="P566" s="19"/>
    </row>
    <row r="567" spans="16:16" ht="14.25" customHeight="1" x14ac:dyDescent="0.75">
      <c r="P567" s="19"/>
    </row>
    <row r="568" spans="16:16" ht="14.25" customHeight="1" x14ac:dyDescent="0.75">
      <c r="P568" s="19"/>
    </row>
    <row r="569" spans="16:16" ht="14.25" customHeight="1" x14ac:dyDescent="0.75">
      <c r="P569" s="19"/>
    </row>
    <row r="570" spans="16:16" ht="14.25" customHeight="1" x14ac:dyDescent="0.75">
      <c r="P570" s="19"/>
    </row>
    <row r="571" spans="16:16" ht="14.25" customHeight="1" x14ac:dyDescent="0.75">
      <c r="P571" s="19"/>
    </row>
    <row r="572" spans="16:16" ht="14.25" customHeight="1" x14ac:dyDescent="0.75">
      <c r="P572" s="19"/>
    </row>
    <row r="573" spans="16:16" ht="14.25" customHeight="1" x14ac:dyDescent="0.75">
      <c r="P573" s="19"/>
    </row>
    <row r="574" spans="16:16" ht="14.25" customHeight="1" x14ac:dyDescent="0.75">
      <c r="P574" s="19"/>
    </row>
    <row r="575" spans="16:16" ht="14.25" customHeight="1" x14ac:dyDescent="0.75">
      <c r="P575" s="19"/>
    </row>
    <row r="576" spans="16:16" ht="14.25" customHeight="1" x14ac:dyDescent="0.75">
      <c r="P576" s="19"/>
    </row>
    <row r="577" spans="16:16" ht="14.25" customHeight="1" x14ac:dyDescent="0.75">
      <c r="P577" s="19"/>
    </row>
    <row r="578" spans="16:16" ht="14.25" customHeight="1" x14ac:dyDescent="0.75">
      <c r="P578" s="19"/>
    </row>
    <row r="579" spans="16:16" ht="14.25" customHeight="1" x14ac:dyDescent="0.75">
      <c r="P579" s="19"/>
    </row>
    <row r="580" spans="16:16" ht="14.25" customHeight="1" x14ac:dyDescent="0.75">
      <c r="P580" s="19"/>
    </row>
    <row r="581" spans="16:16" ht="14.25" customHeight="1" x14ac:dyDescent="0.75">
      <c r="P581" s="19"/>
    </row>
    <row r="582" spans="16:16" ht="14.25" customHeight="1" x14ac:dyDescent="0.75">
      <c r="P582" s="19"/>
    </row>
    <row r="583" spans="16:16" ht="14.25" customHeight="1" x14ac:dyDescent="0.75">
      <c r="P583" s="19"/>
    </row>
    <row r="584" spans="16:16" ht="14.25" customHeight="1" x14ac:dyDescent="0.75">
      <c r="P584" s="19"/>
    </row>
    <row r="585" spans="16:16" ht="14.25" customHeight="1" x14ac:dyDescent="0.75">
      <c r="P585" s="19"/>
    </row>
    <row r="586" spans="16:16" ht="14.25" customHeight="1" x14ac:dyDescent="0.75">
      <c r="P586" s="19"/>
    </row>
    <row r="587" spans="16:16" ht="14.25" customHeight="1" x14ac:dyDescent="0.75">
      <c r="P587" s="19"/>
    </row>
    <row r="588" spans="16:16" ht="14.25" customHeight="1" x14ac:dyDescent="0.75">
      <c r="P588" s="19"/>
    </row>
    <row r="589" spans="16:16" ht="14.25" customHeight="1" x14ac:dyDescent="0.75">
      <c r="P589" s="19"/>
    </row>
    <row r="590" spans="16:16" ht="14.25" customHeight="1" x14ac:dyDescent="0.75">
      <c r="P590" s="19"/>
    </row>
    <row r="591" spans="16:16" ht="14.25" customHeight="1" x14ac:dyDescent="0.75">
      <c r="P591" s="19"/>
    </row>
    <row r="592" spans="16:16" ht="14.25" customHeight="1" x14ac:dyDescent="0.75">
      <c r="P592" s="19"/>
    </row>
    <row r="593" spans="16:16" ht="14.25" customHeight="1" x14ac:dyDescent="0.75">
      <c r="P593" s="19"/>
    </row>
    <row r="594" spans="16:16" ht="14.25" customHeight="1" x14ac:dyDescent="0.75">
      <c r="P594" s="19"/>
    </row>
    <row r="595" spans="16:16" ht="14.25" customHeight="1" x14ac:dyDescent="0.75">
      <c r="P595" s="19"/>
    </row>
    <row r="596" spans="16:16" ht="14.25" customHeight="1" x14ac:dyDescent="0.75">
      <c r="P596" s="19"/>
    </row>
    <row r="597" spans="16:16" ht="14.25" customHeight="1" x14ac:dyDescent="0.75">
      <c r="P597" s="19"/>
    </row>
    <row r="598" spans="16:16" ht="14.25" customHeight="1" x14ac:dyDescent="0.75">
      <c r="P598" s="19"/>
    </row>
    <row r="599" spans="16:16" ht="14.25" customHeight="1" x14ac:dyDescent="0.75">
      <c r="P599" s="19"/>
    </row>
    <row r="600" spans="16:16" ht="14.25" customHeight="1" x14ac:dyDescent="0.75">
      <c r="P600" s="19"/>
    </row>
    <row r="601" spans="16:16" ht="14.25" customHeight="1" x14ac:dyDescent="0.75">
      <c r="P601" s="19"/>
    </row>
    <row r="602" spans="16:16" ht="14.25" customHeight="1" x14ac:dyDescent="0.75">
      <c r="P602" s="19"/>
    </row>
    <row r="603" spans="16:16" ht="14.25" customHeight="1" x14ac:dyDescent="0.75">
      <c r="P603" s="19"/>
    </row>
    <row r="604" spans="16:16" ht="14.25" customHeight="1" x14ac:dyDescent="0.75">
      <c r="P604" s="19"/>
    </row>
    <row r="605" spans="16:16" ht="14.25" customHeight="1" x14ac:dyDescent="0.75">
      <c r="P605" s="19"/>
    </row>
    <row r="606" spans="16:16" ht="14.25" customHeight="1" x14ac:dyDescent="0.75">
      <c r="P606" s="19"/>
    </row>
    <row r="607" spans="16:16" ht="14.25" customHeight="1" x14ac:dyDescent="0.75">
      <c r="P607" s="19"/>
    </row>
    <row r="608" spans="16:16" ht="14.25" customHeight="1" x14ac:dyDescent="0.75">
      <c r="P608" s="19"/>
    </row>
    <row r="609" spans="16:16" ht="14.25" customHeight="1" x14ac:dyDescent="0.75">
      <c r="P609" s="19"/>
    </row>
    <row r="610" spans="16:16" ht="14.25" customHeight="1" x14ac:dyDescent="0.75">
      <c r="P610" s="19"/>
    </row>
    <row r="611" spans="16:16" ht="14.25" customHeight="1" x14ac:dyDescent="0.75">
      <c r="P611" s="19"/>
    </row>
    <row r="612" spans="16:16" ht="14.25" customHeight="1" x14ac:dyDescent="0.75">
      <c r="P612" s="19"/>
    </row>
    <row r="613" spans="16:16" ht="14.25" customHeight="1" x14ac:dyDescent="0.75">
      <c r="P613" s="19"/>
    </row>
    <row r="614" spans="16:16" ht="14.25" customHeight="1" x14ac:dyDescent="0.75">
      <c r="P614" s="19"/>
    </row>
    <row r="615" spans="16:16" ht="14.25" customHeight="1" x14ac:dyDescent="0.75">
      <c r="P615" s="19"/>
    </row>
    <row r="616" spans="16:16" ht="14.25" customHeight="1" x14ac:dyDescent="0.75">
      <c r="P616" s="19"/>
    </row>
    <row r="617" spans="16:16" ht="14.25" customHeight="1" x14ac:dyDescent="0.75">
      <c r="P617" s="19"/>
    </row>
    <row r="618" spans="16:16" ht="14.25" customHeight="1" x14ac:dyDescent="0.75">
      <c r="P618" s="19"/>
    </row>
    <row r="619" spans="16:16" ht="14.25" customHeight="1" x14ac:dyDescent="0.75">
      <c r="P619" s="19"/>
    </row>
    <row r="620" spans="16:16" ht="14.25" customHeight="1" x14ac:dyDescent="0.75">
      <c r="P620" s="19"/>
    </row>
    <row r="621" spans="16:16" ht="14.25" customHeight="1" x14ac:dyDescent="0.75">
      <c r="P621" s="19"/>
    </row>
    <row r="622" spans="16:16" ht="14.25" customHeight="1" x14ac:dyDescent="0.75">
      <c r="P622" s="19"/>
    </row>
    <row r="623" spans="16:16" ht="14.25" customHeight="1" x14ac:dyDescent="0.75">
      <c r="P623" s="19"/>
    </row>
    <row r="624" spans="16:16" ht="14.25" customHeight="1" x14ac:dyDescent="0.75">
      <c r="P624" s="19"/>
    </row>
    <row r="625" spans="16:16" ht="14.25" customHeight="1" x14ac:dyDescent="0.75">
      <c r="P625" s="19"/>
    </row>
    <row r="626" spans="16:16" ht="14.25" customHeight="1" x14ac:dyDescent="0.75">
      <c r="P626" s="19"/>
    </row>
    <row r="627" spans="16:16" ht="14.25" customHeight="1" x14ac:dyDescent="0.75">
      <c r="P627" s="19"/>
    </row>
    <row r="628" spans="16:16" ht="14.25" customHeight="1" x14ac:dyDescent="0.75">
      <c r="P628" s="19"/>
    </row>
    <row r="629" spans="16:16" ht="14.25" customHeight="1" x14ac:dyDescent="0.75">
      <c r="P629" s="19"/>
    </row>
    <row r="630" spans="16:16" ht="14.25" customHeight="1" x14ac:dyDescent="0.75">
      <c r="P630" s="19"/>
    </row>
    <row r="631" spans="16:16" ht="14.25" customHeight="1" x14ac:dyDescent="0.75">
      <c r="P631" s="19"/>
    </row>
    <row r="632" spans="16:16" ht="14.25" customHeight="1" x14ac:dyDescent="0.75">
      <c r="P632" s="19"/>
    </row>
    <row r="633" spans="16:16" ht="14.25" customHeight="1" x14ac:dyDescent="0.75">
      <c r="P633" s="19"/>
    </row>
    <row r="634" spans="16:16" ht="14.25" customHeight="1" x14ac:dyDescent="0.75">
      <c r="P634" s="19"/>
    </row>
    <row r="635" spans="16:16" ht="14.25" customHeight="1" x14ac:dyDescent="0.75">
      <c r="P635" s="19"/>
    </row>
    <row r="636" spans="16:16" ht="14.25" customHeight="1" x14ac:dyDescent="0.75">
      <c r="P636" s="19"/>
    </row>
    <row r="637" spans="16:16" ht="14.25" customHeight="1" x14ac:dyDescent="0.75">
      <c r="P637" s="19"/>
    </row>
    <row r="638" spans="16:16" ht="14.25" customHeight="1" x14ac:dyDescent="0.75">
      <c r="P638" s="19"/>
    </row>
    <row r="639" spans="16:16" ht="14.25" customHeight="1" x14ac:dyDescent="0.75">
      <c r="P639" s="19"/>
    </row>
    <row r="640" spans="16:16" ht="14.25" customHeight="1" x14ac:dyDescent="0.75">
      <c r="P640" s="19"/>
    </row>
    <row r="641" spans="16:16" ht="14.25" customHeight="1" x14ac:dyDescent="0.75">
      <c r="P641" s="19"/>
    </row>
    <row r="642" spans="16:16" ht="14.25" customHeight="1" x14ac:dyDescent="0.75">
      <c r="P642" s="19"/>
    </row>
    <row r="643" spans="16:16" ht="14.25" customHeight="1" x14ac:dyDescent="0.75">
      <c r="P643" s="19"/>
    </row>
    <row r="644" spans="16:16" ht="14.25" customHeight="1" x14ac:dyDescent="0.75">
      <c r="P644" s="19"/>
    </row>
    <row r="645" spans="16:16" ht="14.25" customHeight="1" x14ac:dyDescent="0.75">
      <c r="P645" s="19"/>
    </row>
    <row r="646" spans="16:16" ht="14.25" customHeight="1" x14ac:dyDescent="0.75">
      <c r="P646" s="19"/>
    </row>
    <row r="647" spans="16:16" ht="14.25" customHeight="1" x14ac:dyDescent="0.75">
      <c r="P647" s="19"/>
    </row>
    <row r="648" spans="16:16" ht="14.25" customHeight="1" x14ac:dyDescent="0.75">
      <c r="P648" s="19"/>
    </row>
    <row r="649" spans="16:16" ht="14.25" customHeight="1" x14ac:dyDescent="0.75">
      <c r="P649" s="19"/>
    </row>
    <row r="650" spans="16:16" ht="14.25" customHeight="1" x14ac:dyDescent="0.75">
      <c r="P650" s="19"/>
    </row>
    <row r="651" spans="16:16" ht="14.25" customHeight="1" x14ac:dyDescent="0.75">
      <c r="P651" s="19"/>
    </row>
    <row r="652" spans="16:16" ht="14.25" customHeight="1" x14ac:dyDescent="0.75">
      <c r="P652" s="19"/>
    </row>
    <row r="653" spans="16:16" ht="14.25" customHeight="1" x14ac:dyDescent="0.75">
      <c r="P653" s="19"/>
    </row>
    <row r="654" spans="16:16" ht="14.25" customHeight="1" x14ac:dyDescent="0.75">
      <c r="P654" s="19"/>
    </row>
    <row r="655" spans="16:16" ht="14.25" customHeight="1" x14ac:dyDescent="0.75">
      <c r="P655" s="19"/>
    </row>
    <row r="656" spans="16:16" ht="14.25" customHeight="1" x14ac:dyDescent="0.75">
      <c r="P656" s="19"/>
    </row>
    <row r="657" spans="16:16" ht="14.25" customHeight="1" x14ac:dyDescent="0.75">
      <c r="P657" s="19"/>
    </row>
    <row r="658" spans="16:16" ht="14.25" customHeight="1" x14ac:dyDescent="0.75">
      <c r="P658" s="19"/>
    </row>
    <row r="659" spans="16:16" ht="14.25" customHeight="1" x14ac:dyDescent="0.75">
      <c r="P659" s="19"/>
    </row>
    <row r="660" spans="16:16" ht="14.25" customHeight="1" x14ac:dyDescent="0.75">
      <c r="P660" s="19"/>
    </row>
    <row r="661" spans="16:16" ht="14.25" customHeight="1" x14ac:dyDescent="0.75">
      <c r="P661" s="19"/>
    </row>
    <row r="662" spans="16:16" ht="14.25" customHeight="1" x14ac:dyDescent="0.75">
      <c r="P662" s="19"/>
    </row>
    <row r="663" spans="16:16" ht="14.25" customHeight="1" x14ac:dyDescent="0.75">
      <c r="P663" s="19"/>
    </row>
    <row r="664" spans="16:16" ht="14.25" customHeight="1" x14ac:dyDescent="0.75">
      <c r="P664" s="19"/>
    </row>
    <row r="665" spans="16:16" ht="14.25" customHeight="1" x14ac:dyDescent="0.75">
      <c r="P665" s="19"/>
    </row>
    <row r="666" spans="16:16" ht="14.25" customHeight="1" x14ac:dyDescent="0.75">
      <c r="P666" s="19"/>
    </row>
    <row r="667" spans="16:16" ht="14.25" customHeight="1" x14ac:dyDescent="0.75">
      <c r="P667" s="19"/>
    </row>
    <row r="668" spans="16:16" ht="14.25" customHeight="1" x14ac:dyDescent="0.75">
      <c r="P668" s="19"/>
    </row>
    <row r="669" spans="16:16" ht="14.25" customHeight="1" x14ac:dyDescent="0.75">
      <c r="P669" s="19"/>
    </row>
    <row r="670" spans="16:16" ht="14.25" customHeight="1" x14ac:dyDescent="0.75">
      <c r="P670" s="19"/>
    </row>
    <row r="671" spans="16:16" ht="14.25" customHeight="1" x14ac:dyDescent="0.75">
      <c r="P671" s="19"/>
    </row>
    <row r="672" spans="16:16" ht="14.25" customHeight="1" x14ac:dyDescent="0.75">
      <c r="P672" s="19"/>
    </row>
    <row r="673" spans="16:16" ht="14.25" customHeight="1" x14ac:dyDescent="0.75">
      <c r="P673" s="19"/>
    </row>
    <row r="674" spans="16:16" ht="14.25" customHeight="1" x14ac:dyDescent="0.75">
      <c r="P674" s="19"/>
    </row>
    <row r="675" spans="16:16" ht="14.25" customHeight="1" x14ac:dyDescent="0.75">
      <c r="P675" s="19"/>
    </row>
    <row r="676" spans="16:16" ht="14.25" customHeight="1" x14ac:dyDescent="0.75">
      <c r="P676" s="19"/>
    </row>
    <row r="677" spans="16:16" ht="14.25" customHeight="1" x14ac:dyDescent="0.75">
      <c r="P677" s="19"/>
    </row>
    <row r="678" spans="16:16" ht="14.25" customHeight="1" x14ac:dyDescent="0.75">
      <c r="P678" s="19"/>
    </row>
    <row r="679" spans="16:16" ht="14.25" customHeight="1" x14ac:dyDescent="0.75">
      <c r="P679" s="19"/>
    </row>
    <row r="680" spans="16:16" ht="14.25" customHeight="1" x14ac:dyDescent="0.75">
      <c r="P680" s="19"/>
    </row>
    <row r="681" spans="16:16" ht="14.25" customHeight="1" x14ac:dyDescent="0.75">
      <c r="P681" s="19"/>
    </row>
    <row r="682" spans="16:16" ht="14.25" customHeight="1" x14ac:dyDescent="0.75">
      <c r="P682" s="19"/>
    </row>
    <row r="683" spans="16:16" ht="14.25" customHeight="1" x14ac:dyDescent="0.75">
      <c r="P683" s="19"/>
    </row>
    <row r="684" spans="16:16" ht="14.25" customHeight="1" x14ac:dyDescent="0.75">
      <c r="P684" s="19"/>
    </row>
    <row r="685" spans="16:16" ht="14.25" customHeight="1" x14ac:dyDescent="0.75">
      <c r="P685" s="19"/>
    </row>
    <row r="686" spans="16:16" ht="14.25" customHeight="1" x14ac:dyDescent="0.75">
      <c r="P686" s="19"/>
    </row>
    <row r="687" spans="16:16" ht="14.25" customHeight="1" x14ac:dyDescent="0.75">
      <c r="P687" s="19"/>
    </row>
    <row r="688" spans="16:16" ht="14.25" customHeight="1" x14ac:dyDescent="0.75">
      <c r="P688" s="19"/>
    </row>
    <row r="689" spans="16:16" ht="14.25" customHeight="1" x14ac:dyDescent="0.75">
      <c r="P689" s="19"/>
    </row>
    <row r="690" spans="16:16" ht="14.25" customHeight="1" x14ac:dyDescent="0.75">
      <c r="P690" s="19"/>
    </row>
    <row r="691" spans="16:16" ht="14.25" customHeight="1" x14ac:dyDescent="0.75">
      <c r="P691" s="19"/>
    </row>
    <row r="692" spans="16:16" ht="14.25" customHeight="1" x14ac:dyDescent="0.75">
      <c r="P692" s="19"/>
    </row>
    <row r="693" spans="16:16" ht="14.25" customHeight="1" x14ac:dyDescent="0.75">
      <c r="P693" s="19"/>
    </row>
    <row r="694" spans="16:16" ht="14.25" customHeight="1" x14ac:dyDescent="0.75">
      <c r="P694" s="19"/>
    </row>
    <row r="695" spans="16:16" ht="14.25" customHeight="1" x14ac:dyDescent="0.75">
      <c r="P695" s="19"/>
    </row>
    <row r="696" spans="16:16" ht="14.25" customHeight="1" x14ac:dyDescent="0.75">
      <c r="P696" s="19"/>
    </row>
    <row r="697" spans="16:16" ht="14.25" customHeight="1" x14ac:dyDescent="0.75">
      <c r="P697" s="19"/>
    </row>
    <row r="698" spans="16:16" ht="14.25" customHeight="1" x14ac:dyDescent="0.75">
      <c r="P698" s="19"/>
    </row>
    <row r="699" spans="16:16" ht="14.25" customHeight="1" x14ac:dyDescent="0.75">
      <c r="P699" s="19"/>
    </row>
    <row r="700" spans="16:16" ht="14.25" customHeight="1" x14ac:dyDescent="0.75">
      <c r="P700" s="19"/>
    </row>
    <row r="701" spans="16:16" ht="14.25" customHeight="1" x14ac:dyDescent="0.75">
      <c r="P701" s="19"/>
    </row>
    <row r="702" spans="16:16" ht="14.25" customHeight="1" x14ac:dyDescent="0.75">
      <c r="P702" s="19"/>
    </row>
    <row r="703" spans="16:16" ht="14.25" customHeight="1" x14ac:dyDescent="0.75">
      <c r="P703" s="19"/>
    </row>
    <row r="704" spans="16:16" ht="14.25" customHeight="1" x14ac:dyDescent="0.75">
      <c r="P704" s="19"/>
    </row>
    <row r="705" spans="16:16" ht="14.25" customHeight="1" x14ac:dyDescent="0.75">
      <c r="P705" s="19"/>
    </row>
    <row r="706" spans="16:16" ht="14.25" customHeight="1" x14ac:dyDescent="0.75">
      <c r="P706" s="19"/>
    </row>
    <row r="707" spans="16:16" ht="14.25" customHeight="1" x14ac:dyDescent="0.75">
      <c r="P707" s="19"/>
    </row>
    <row r="708" spans="16:16" ht="14.25" customHeight="1" x14ac:dyDescent="0.75">
      <c r="P708" s="19"/>
    </row>
    <row r="709" spans="16:16" ht="14.25" customHeight="1" x14ac:dyDescent="0.75">
      <c r="P709" s="19"/>
    </row>
    <row r="710" spans="16:16" ht="14.25" customHeight="1" x14ac:dyDescent="0.75">
      <c r="P710" s="19"/>
    </row>
    <row r="711" spans="16:16" ht="14.25" customHeight="1" x14ac:dyDescent="0.75">
      <c r="P711" s="19"/>
    </row>
    <row r="712" spans="16:16" ht="14.25" customHeight="1" x14ac:dyDescent="0.75">
      <c r="P712" s="19"/>
    </row>
    <row r="713" spans="16:16" ht="14.25" customHeight="1" x14ac:dyDescent="0.75">
      <c r="P713" s="19"/>
    </row>
    <row r="714" spans="16:16" ht="14.25" customHeight="1" x14ac:dyDescent="0.75">
      <c r="P714" s="19"/>
    </row>
    <row r="715" spans="16:16" ht="14.25" customHeight="1" x14ac:dyDescent="0.75">
      <c r="P715" s="19"/>
    </row>
    <row r="716" spans="16:16" ht="14.25" customHeight="1" x14ac:dyDescent="0.75">
      <c r="P716" s="19"/>
    </row>
    <row r="717" spans="16:16" ht="14.25" customHeight="1" x14ac:dyDescent="0.75">
      <c r="P717" s="19"/>
    </row>
    <row r="718" spans="16:16" ht="14.25" customHeight="1" x14ac:dyDescent="0.75">
      <c r="P718" s="19"/>
    </row>
    <row r="719" spans="16:16" ht="14.25" customHeight="1" x14ac:dyDescent="0.75">
      <c r="P719" s="19"/>
    </row>
    <row r="720" spans="16:16" ht="14.25" customHeight="1" x14ac:dyDescent="0.75">
      <c r="P720" s="19"/>
    </row>
    <row r="721" spans="16:16" ht="14.25" customHeight="1" x14ac:dyDescent="0.75">
      <c r="P721" s="19"/>
    </row>
    <row r="722" spans="16:16" ht="14.25" customHeight="1" x14ac:dyDescent="0.75">
      <c r="P722" s="19"/>
    </row>
    <row r="723" spans="16:16" ht="14.25" customHeight="1" x14ac:dyDescent="0.75">
      <c r="P723" s="19"/>
    </row>
    <row r="724" spans="16:16" ht="14.25" customHeight="1" x14ac:dyDescent="0.75">
      <c r="P724" s="19"/>
    </row>
    <row r="725" spans="16:16" ht="14.25" customHeight="1" x14ac:dyDescent="0.75">
      <c r="P725" s="19"/>
    </row>
    <row r="726" spans="16:16" ht="14.25" customHeight="1" x14ac:dyDescent="0.75">
      <c r="P726" s="19"/>
    </row>
    <row r="727" spans="16:16" ht="14.25" customHeight="1" x14ac:dyDescent="0.75">
      <c r="P727" s="19"/>
    </row>
    <row r="728" spans="16:16" ht="14.25" customHeight="1" x14ac:dyDescent="0.75">
      <c r="P728" s="19"/>
    </row>
    <row r="729" spans="16:16" ht="14.25" customHeight="1" x14ac:dyDescent="0.75">
      <c r="P729" s="19"/>
    </row>
    <row r="730" spans="16:16" ht="14.25" customHeight="1" x14ac:dyDescent="0.75">
      <c r="P730" s="19"/>
    </row>
    <row r="731" spans="16:16" ht="14.25" customHeight="1" x14ac:dyDescent="0.75">
      <c r="P731" s="19"/>
    </row>
    <row r="732" spans="16:16" ht="14.25" customHeight="1" x14ac:dyDescent="0.75">
      <c r="P732" s="19"/>
    </row>
    <row r="733" spans="16:16" ht="14.25" customHeight="1" x14ac:dyDescent="0.75">
      <c r="P733" s="19"/>
    </row>
    <row r="734" spans="16:16" ht="14.25" customHeight="1" x14ac:dyDescent="0.75">
      <c r="P734" s="19"/>
    </row>
    <row r="735" spans="16:16" ht="14.25" customHeight="1" x14ac:dyDescent="0.75">
      <c r="P735" s="19"/>
    </row>
    <row r="736" spans="16:16" ht="14.25" customHeight="1" x14ac:dyDescent="0.75">
      <c r="P736" s="19"/>
    </row>
    <row r="737" spans="16:16" ht="14.25" customHeight="1" x14ac:dyDescent="0.75">
      <c r="P737" s="19"/>
    </row>
    <row r="738" spans="16:16" ht="14.25" customHeight="1" x14ac:dyDescent="0.75">
      <c r="P738" s="19"/>
    </row>
    <row r="739" spans="16:16" ht="14.25" customHeight="1" x14ac:dyDescent="0.75">
      <c r="P739" s="19"/>
    </row>
    <row r="740" spans="16:16" ht="14.25" customHeight="1" x14ac:dyDescent="0.75">
      <c r="P740" s="19"/>
    </row>
    <row r="741" spans="16:16" ht="14.25" customHeight="1" x14ac:dyDescent="0.75">
      <c r="P741" s="19"/>
    </row>
    <row r="742" spans="16:16" ht="14.25" customHeight="1" x14ac:dyDescent="0.75">
      <c r="P742" s="19"/>
    </row>
    <row r="743" spans="16:16" ht="14.25" customHeight="1" x14ac:dyDescent="0.75">
      <c r="P743" s="19"/>
    </row>
    <row r="744" spans="16:16" ht="14.25" customHeight="1" x14ac:dyDescent="0.75">
      <c r="P744" s="19"/>
    </row>
    <row r="745" spans="16:16" ht="14.25" customHeight="1" x14ac:dyDescent="0.75">
      <c r="P745" s="19"/>
    </row>
    <row r="746" spans="16:16" ht="14.25" customHeight="1" x14ac:dyDescent="0.75">
      <c r="P746" s="19"/>
    </row>
    <row r="747" spans="16:16" ht="14.25" customHeight="1" x14ac:dyDescent="0.75">
      <c r="P747" s="19"/>
    </row>
    <row r="748" spans="16:16" ht="14.25" customHeight="1" x14ac:dyDescent="0.75">
      <c r="P748" s="19"/>
    </row>
    <row r="749" spans="16:16" ht="14.25" customHeight="1" x14ac:dyDescent="0.75">
      <c r="P749" s="19"/>
    </row>
    <row r="750" spans="16:16" ht="14.25" customHeight="1" x14ac:dyDescent="0.75">
      <c r="P750" s="19"/>
    </row>
    <row r="751" spans="16:16" ht="14.25" customHeight="1" x14ac:dyDescent="0.75">
      <c r="P751" s="19"/>
    </row>
    <row r="752" spans="16:16" ht="14.25" customHeight="1" x14ac:dyDescent="0.75">
      <c r="P752" s="19"/>
    </row>
    <row r="753" spans="16:16" ht="14.25" customHeight="1" x14ac:dyDescent="0.75">
      <c r="P753" s="19"/>
    </row>
    <row r="754" spans="16:16" ht="14.25" customHeight="1" x14ac:dyDescent="0.75">
      <c r="P754" s="19"/>
    </row>
    <row r="755" spans="16:16" ht="14.25" customHeight="1" x14ac:dyDescent="0.75">
      <c r="P755" s="19"/>
    </row>
    <row r="756" spans="16:16" ht="14.25" customHeight="1" x14ac:dyDescent="0.75">
      <c r="P756" s="19"/>
    </row>
    <row r="757" spans="16:16" ht="14.25" customHeight="1" x14ac:dyDescent="0.75">
      <c r="P757" s="19"/>
    </row>
    <row r="758" spans="16:16" ht="14.25" customHeight="1" x14ac:dyDescent="0.75">
      <c r="P758" s="19"/>
    </row>
    <row r="759" spans="16:16" ht="14.25" customHeight="1" x14ac:dyDescent="0.75">
      <c r="P759" s="19"/>
    </row>
    <row r="760" spans="16:16" ht="14.25" customHeight="1" x14ac:dyDescent="0.75">
      <c r="P760" s="19"/>
    </row>
    <row r="761" spans="16:16" ht="14.25" customHeight="1" x14ac:dyDescent="0.75">
      <c r="P761" s="19"/>
    </row>
    <row r="762" spans="16:16" ht="14.25" customHeight="1" x14ac:dyDescent="0.75">
      <c r="P762" s="19"/>
    </row>
    <row r="763" spans="16:16" ht="14.25" customHeight="1" x14ac:dyDescent="0.75">
      <c r="P763" s="19"/>
    </row>
    <row r="764" spans="16:16" ht="14.25" customHeight="1" x14ac:dyDescent="0.75">
      <c r="P764" s="19"/>
    </row>
    <row r="765" spans="16:16" ht="14.25" customHeight="1" x14ac:dyDescent="0.75">
      <c r="P765" s="19"/>
    </row>
    <row r="766" spans="16:16" ht="14.25" customHeight="1" x14ac:dyDescent="0.75">
      <c r="P766" s="19"/>
    </row>
    <row r="767" spans="16:16" ht="14.25" customHeight="1" x14ac:dyDescent="0.75">
      <c r="P767" s="19"/>
    </row>
    <row r="768" spans="16:16" ht="14.25" customHeight="1" x14ac:dyDescent="0.75">
      <c r="P768" s="19"/>
    </row>
    <row r="769" spans="16:16" ht="14.25" customHeight="1" x14ac:dyDescent="0.75">
      <c r="P769" s="19"/>
    </row>
    <row r="770" spans="16:16" ht="14.25" customHeight="1" x14ac:dyDescent="0.75">
      <c r="P770" s="19"/>
    </row>
    <row r="771" spans="16:16" ht="14.25" customHeight="1" x14ac:dyDescent="0.75">
      <c r="P771" s="19"/>
    </row>
    <row r="772" spans="16:16" ht="14.25" customHeight="1" x14ac:dyDescent="0.75">
      <c r="P772" s="19"/>
    </row>
    <row r="773" spans="16:16" ht="14.25" customHeight="1" x14ac:dyDescent="0.75">
      <c r="P773" s="19"/>
    </row>
    <row r="774" spans="16:16" ht="14.25" customHeight="1" x14ac:dyDescent="0.75">
      <c r="P774" s="19"/>
    </row>
    <row r="775" spans="16:16" ht="14.25" customHeight="1" x14ac:dyDescent="0.75">
      <c r="P775" s="19"/>
    </row>
    <row r="776" spans="16:16" ht="14.25" customHeight="1" x14ac:dyDescent="0.75">
      <c r="P776" s="19"/>
    </row>
    <row r="777" spans="16:16" ht="14.25" customHeight="1" x14ac:dyDescent="0.75">
      <c r="P777" s="19"/>
    </row>
    <row r="778" spans="16:16" ht="14.25" customHeight="1" x14ac:dyDescent="0.75">
      <c r="P778" s="19"/>
    </row>
    <row r="779" spans="16:16" ht="14.25" customHeight="1" x14ac:dyDescent="0.75">
      <c r="P779" s="19"/>
    </row>
    <row r="780" spans="16:16" ht="14.25" customHeight="1" x14ac:dyDescent="0.75">
      <c r="P780" s="19"/>
    </row>
    <row r="781" spans="16:16" ht="14.25" customHeight="1" x14ac:dyDescent="0.75">
      <c r="P781" s="19"/>
    </row>
    <row r="782" spans="16:16" ht="14.25" customHeight="1" x14ac:dyDescent="0.75">
      <c r="P782" s="19"/>
    </row>
    <row r="783" spans="16:16" ht="14.25" customHeight="1" x14ac:dyDescent="0.75">
      <c r="P783" s="19"/>
    </row>
    <row r="784" spans="16:16" ht="14.25" customHeight="1" x14ac:dyDescent="0.75">
      <c r="P784" s="19"/>
    </row>
    <row r="785" spans="16:16" ht="14.25" customHeight="1" x14ac:dyDescent="0.75">
      <c r="P785" s="19"/>
    </row>
    <row r="786" spans="16:16" ht="14.25" customHeight="1" x14ac:dyDescent="0.75">
      <c r="P786" s="19"/>
    </row>
    <row r="787" spans="16:16" ht="14.25" customHeight="1" x14ac:dyDescent="0.75">
      <c r="P787" s="19"/>
    </row>
    <row r="788" spans="16:16" ht="14.25" customHeight="1" x14ac:dyDescent="0.75">
      <c r="P788" s="19"/>
    </row>
    <row r="789" spans="16:16" ht="14.25" customHeight="1" x14ac:dyDescent="0.75">
      <c r="P789" s="19"/>
    </row>
    <row r="790" spans="16:16" ht="14.25" customHeight="1" x14ac:dyDescent="0.75">
      <c r="P790" s="19"/>
    </row>
    <row r="791" spans="16:16" ht="14.25" customHeight="1" x14ac:dyDescent="0.75">
      <c r="P791" s="19"/>
    </row>
    <row r="792" spans="16:16" ht="14.25" customHeight="1" x14ac:dyDescent="0.75">
      <c r="P792" s="19"/>
    </row>
    <row r="793" spans="16:16" ht="14.25" customHeight="1" x14ac:dyDescent="0.75">
      <c r="P793" s="19"/>
    </row>
    <row r="794" spans="16:16" ht="14.25" customHeight="1" x14ac:dyDescent="0.75">
      <c r="P794" s="19"/>
    </row>
    <row r="795" spans="16:16" ht="14.25" customHeight="1" x14ac:dyDescent="0.75">
      <c r="P795" s="19"/>
    </row>
    <row r="796" spans="16:16" ht="14.25" customHeight="1" x14ac:dyDescent="0.75">
      <c r="P796" s="19"/>
    </row>
    <row r="797" spans="16:16" ht="14.25" customHeight="1" x14ac:dyDescent="0.75">
      <c r="P797" s="19"/>
    </row>
    <row r="798" spans="16:16" ht="14.25" customHeight="1" x14ac:dyDescent="0.75">
      <c r="P798" s="19"/>
    </row>
    <row r="799" spans="16:16" ht="14.25" customHeight="1" x14ac:dyDescent="0.75">
      <c r="P799" s="19"/>
    </row>
    <row r="800" spans="16:16" ht="14.25" customHeight="1" x14ac:dyDescent="0.75">
      <c r="P800" s="19"/>
    </row>
    <row r="801" spans="16:16" ht="14.25" customHeight="1" x14ac:dyDescent="0.75">
      <c r="P801" s="19"/>
    </row>
    <row r="802" spans="16:16" ht="14.25" customHeight="1" x14ac:dyDescent="0.75">
      <c r="P802" s="19"/>
    </row>
    <row r="803" spans="16:16" ht="14.25" customHeight="1" x14ac:dyDescent="0.75">
      <c r="P803" s="19"/>
    </row>
    <row r="804" spans="16:16" ht="14.25" customHeight="1" x14ac:dyDescent="0.75">
      <c r="P804" s="19"/>
    </row>
    <row r="805" spans="16:16" ht="14.25" customHeight="1" x14ac:dyDescent="0.75">
      <c r="P805" s="19"/>
    </row>
    <row r="806" spans="16:16" ht="14.25" customHeight="1" x14ac:dyDescent="0.75">
      <c r="P806" s="19"/>
    </row>
    <row r="807" spans="16:16" ht="14.25" customHeight="1" x14ac:dyDescent="0.75">
      <c r="P807" s="19"/>
    </row>
    <row r="808" spans="16:16" ht="14.25" customHeight="1" x14ac:dyDescent="0.75">
      <c r="P808" s="19"/>
    </row>
    <row r="809" spans="16:16" ht="14.25" customHeight="1" x14ac:dyDescent="0.75">
      <c r="P809" s="19"/>
    </row>
    <row r="810" spans="16:16" ht="14.25" customHeight="1" x14ac:dyDescent="0.75">
      <c r="P810" s="19"/>
    </row>
    <row r="811" spans="16:16" ht="14.25" customHeight="1" x14ac:dyDescent="0.75">
      <c r="P811" s="19"/>
    </row>
    <row r="812" spans="16:16" ht="14.25" customHeight="1" x14ac:dyDescent="0.75">
      <c r="P812" s="19"/>
    </row>
    <row r="813" spans="16:16" ht="14.25" customHeight="1" x14ac:dyDescent="0.75">
      <c r="P813" s="19"/>
    </row>
    <row r="814" spans="16:16" ht="14.25" customHeight="1" x14ac:dyDescent="0.75">
      <c r="P814" s="19"/>
    </row>
    <row r="815" spans="16:16" ht="14.25" customHeight="1" x14ac:dyDescent="0.75">
      <c r="P815" s="19"/>
    </row>
    <row r="816" spans="16:16" ht="14.25" customHeight="1" x14ac:dyDescent="0.75">
      <c r="P816" s="19"/>
    </row>
    <row r="817" spans="16:16" ht="14.25" customHeight="1" x14ac:dyDescent="0.75">
      <c r="P817" s="19"/>
    </row>
    <row r="818" spans="16:16" ht="14.25" customHeight="1" x14ac:dyDescent="0.75">
      <c r="P818" s="19"/>
    </row>
    <row r="819" spans="16:16" ht="14.25" customHeight="1" x14ac:dyDescent="0.75">
      <c r="P819" s="19"/>
    </row>
    <row r="820" spans="16:16" ht="14.25" customHeight="1" x14ac:dyDescent="0.75">
      <c r="P820" s="19"/>
    </row>
    <row r="821" spans="16:16" ht="14.25" customHeight="1" x14ac:dyDescent="0.75">
      <c r="P821" s="19"/>
    </row>
    <row r="822" spans="16:16" ht="14.25" customHeight="1" x14ac:dyDescent="0.75">
      <c r="P822" s="19"/>
    </row>
    <row r="823" spans="16:16" ht="14.25" customHeight="1" x14ac:dyDescent="0.75">
      <c r="P823" s="19"/>
    </row>
    <row r="824" spans="16:16" ht="14.25" customHeight="1" x14ac:dyDescent="0.75">
      <c r="P824" s="19"/>
    </row>
    <row r="825" spans="16:16" ht="14.25" customHeight="1" x14ac:dyDescent="0.75">
      <c r="P825" s="19"/>
    </row>
    <row r="826" spans="16:16" ht="14.25" customHeight="1" x14ac:dyDescent="0.75">
      <c r="P826" s="19"/>
    </row>
    <row r="827" spans="16:16" ht="14.25" customHeight="1" x14ac:dyDescent="0.75">
      <c r="P827" s="19"/>
    </row>
    <row r="828" spans="16:16" ht="14.25" customHeight="1" x14ac:dyDescent="0.75">
      <c r="P828" s="19"/>
    </row>
    <row r="829" spans="16:16" ht="14.25" customHeight="1" x14ac:dyDescent="0.75">
      <c r="P829" s="19"/>
    </row>
    <row r="830" spans="16:16" ht="14.25" customHeight="1" x14ac:dyDescent="0.75">
      <c r="P830" s="19"/>
    </row>
    <row r="831" spans="16:16" ht="14.25" customHeight="1" x14ac:dyDescent="0.75">
      <c r="P831" s="19"/>
    </row>
    <row r="832" spans="16:16" ht="14.25" customHeight="1" x14ac:dyDescent="0.75">
      <c r="P832" s="19"/>
    </row>
    <row r="833" spans="16:16" ht="14.25" customHeight="1" x14ac:dyDescent="0.75">
      <c r="P833" s="19"/>
    </row>
    <row r="834" spans="16:16" ht="14.25" customHeight="1" x14ac:dyDescent="0.75">
      <c r="P834" s="19"/>
    </row>
    <row r="835" spans="16:16" ht="14.25" customHeight="1" x14ac:dyDescent="0.75">
      <c r="P835" s="19"/>
    </row>
    <row r="836" spans="16:16" ht="14.25" customHeight="1" x14ac:dyDescent="0.75">
      <c r="P836" s="19"/>
    </row>
    <row r="837" spans="16:16" ht="14.25" customHeight="1" x14ac:dyDescent="0.75">
      <c r="P837" s="19"/>
    </row>
    <row r="838" spans="16:16" ht="14.25" customHeight="1" x14ac:dyDescent="0.75">
      <c r="P838" s="19"/>
    </row>
    <row r="839" spans="16:16" ht="14.25" customHeight="1" x14ac:dyDescent="0.75">
      <c r="P839" s="19"/>
    </row>
    <row r="840" spans="16:16" ht="14.25" customHeight="1" x14ac:dyDescent="0.75">
      <c r="P840" s="19"/>
    </row>
    <row r="841" spans="16:16" ht="14.25" customHeight="1" x14ac:dyDescent="0.75">
      <c r="P841" s="19"/>
    </row>
    <row r="842" spans="16:16" ht="14.25" customHeight="1" x14ac:dyDescent="0.75">
      <c r="P842" s="19"/>
    </row>
    <row r="843" spans="16:16" ht="14.25" customHeight="1" x14ac:dyDescent="0.75">
      <c r="P843" s="19"/>
    </row>
    <row r="844" spans="16:16" ht="14.25" customHeight="1" x14ac:dyDescent="0.75">
      <c r="P844" s="19"/>
    </row>
    <row r="845" spans="16:16" ht="14.25" customHeight="1" x14ac:dyDescent="0.75">
      <c r="P845" s="19"/>
    </row>
    <row r="846" spans="16:16" ht="14.25" customHeight="1" x14ac:dyDescent="0.75">
      <c r="P846" s="19"/>
    </row>
    <row r="847" spans="16:16" ht="14.25" customHeight="1" x14ac:dyDescent="0.75">
      <c r="P847" s="19"/>
    </row>
    <row r="848" spans="16:16" ht="14.25" customHeight="1" x14ac:dyDescent="0.75">
      <c r="P848" s="19"/>
    </row>
    <row r="849" spans="16:16" ht="14.25" customHeight="1" x14ac:dyDescent="0.75">
      <c r="P849" s="19"/>
    </row>
    <row r="850" spans="16:16" ht="14.25" customHeight="1" x14ac:dyDescent="0.75">
      <c r="P850" s="19"/>
    </row>
    <row r="851" spans="16:16" ht="14.25" customHeight="1" x14ac:dyDescent="0.75">
      <c r="P851" s="19"/>
    </row>
    <row r="852" spans="16:16" ht="14.25" customHeight="1" x14ac:dyDescent="0.75">
      <c r="P852" s="19"/>
    </row>
    <row r="853" spans="16:16" ht="14.25" customHeight="1" x14ac:dyDescent="0.75">
      <c r="P853" s="19"/>
    </row>
    <row r="854" spans="16:16" ht="14.25" customHeight="1" x14ac:dyDescent="0.75">
      <c r="P854" s="19"/>
    </row>
    <row r="855" spans="16:16" ht="14.25" customHeight="1" x14ac:dyDescent="0.75">
      <c r="P855" s="19"/>
    </row>
    <row r="856" spans="16:16" ht="14.25" customHeight="1" x14ac:dyDescent="0.75">
      <c r="P856" s="19"/>
    </row>
    <row r="857" spans="16:16" ht="14.25" customHeight="1" x14ac:dyDescent="0.75">
      <c r="P857" s="19"/>
    </row>
    <row r="858" spans="16:16" ht="14.25" customHeight="1" x14ac:dyDescent="0.75">
      <c r="P858" s="19"/>
    </row>
    <row r="859" spans="16:16" ht="14.25" customHeight="1" x14ac:dyDescent="0.75">
      <c r="P859" s="19"/>
    </row>
    <row r="860" spans="16:16" ht="14.25" customHeight="1" x14ac:dyDescent="0.75">
      <c r="P860" s="19"/>
    </row>
    <row r="861" spans="16:16" ht="14.25" customHeight="1" x14ac:dyDescent="0.75">
      <c r="P861" s="19"/>
    </row>
    <row r="862" spans="16:16" ht="14.25" customHeight="1" x14ac:dyDescent="0.75">
      <c r="P862" s="19"/>
    </row>
    <row r="863" spans="16:16" ht="14.25" customHeight="1" x14ac:dyDescent="0.75">
      <c r="P863" s="19"/>
    </row>
    <row r="864" spans="16:16" ht="14.25" customHeight="1" x14ac:dyDescent="0.75">
      <c r="P864" s="19"/>
    </row>
    <row r="865" spans="16:16" ht="14.25" customHeight="1" x14ac:dyDescent="0.75">
      <c r="P865" s="19"/>
    </row>
    <row r="866" spans="16:16" ht="14.25" customHeight="1" x14ac:dyDescent="0.75">
      <c r="P866" s="19"/>
    </row>
    <row r="867" spans="16:16" ht="14.25" customHeight="1" x14ac:dyDescent="0.75">
      <c r="P867" s="19"/>
    </row>
    <row r="868" spans="16:16" ht="14.25" customHeight="1" x14ac:dyDescent="0.75">
      <c r="P868" s="19"/>
    </row>
    <row r="869" spans="16:16" ht="14.25" customHeight="1" x14ac:dyDescent="0.75">
      <c r="P869" s="19"/>
    </row>
    <row r="870" spans="16:16" ht="14.25" customHeight="1" x14ac:dyDescent="0.75">
      <c r="P870" s="19"/>
    </row>
    <row r="871" spans="16:16" ht="14.25" customHeight="1" x14ac:dyDescent="0.75">
      <c r="P871" s="19"/>
    </row>
    <row r="872" spans="16:16" ht="14.25" customHeight="1" x14ac:dyDescent="0.75">
      <c r="P872" s="19"/>
    </row>
    <row r="873" spans="16:16" ht="14.25" customHeight="1" x14ac:dyDescent="0.75">
      <c r="P873" s="19"/>
    </row>
    <row r="874" spans="16:16" ht="14.25" customHeight="1" x14ac:dyDescent="0.75">
      <c r="P874" s="19"/>
    </row>
    <row r="875" spans="16:16" ht="14.25" customHeight="1" x14ac:dyDescent="0.75">
      <c r="P875" s="19"/>
    </row>
    <row r="876" spans="16:16" ht="14.25" customHeight="1" x14ac:dyDescent="0.75">
      <c r="P876" s="19"/>
    </row>
    <row r="877" spans="16:16" ht="14.25" customHeight="1" x14ac:dyDescent="0.75">
      <c r="P877" s="19"/>
    </row>
    <row r="878" spans="16:16" ht="14.25" customHeight="1" x14ac:dyDescent="0.75">
      <c r="P878" s="19"/>
    </row>
    <row r="879" spans="16:16" ht="14.25" customHeight="1" x14ac:dyDescent="0.75">
      <c r="P879" s="19"/>
    </row>
    <row r="880" spans="16:16" ht="14.25" customHeight="1" x14ac:dyDescent="0.75">
      <c r="P880" s="19"/>
    </row>
    <row r="881" spans="16:16" ht="14.25" customHeight="1" x14ac:dyDescent="0.75">
      <c r="P881" s="19"/>
    </row>
    <row r="882" spans="16:16" ht="14.25" customHeight="1" x14ac:dyDescent="0.75">
      <c r="P882" s="19"/>
    </row>
    <row r="883" spans="16:16" ht="14.25" customHeight="1" x14ac:dyDescent="0.75">
      <c r="P883" s="19"/>
    </row>
    <row r="884" spans="16:16" ht="14.25" customHeight="1" x14ac:dyDescent="0.75">
      <c r="P884" s="19"/>
    </row>
    <row r="885" spans="16:16" ht="14.25" customHeight="1" x14ac:dyDescent="0.75">
      <c r="P885" s="19"/>
    </row>
    <row r="886" spans="16:16" ht="14.25" customHeight="1" x14ac:dyDescent="0.75">
      <c r="P886" s="19"/>
    </row>
    <row r="887" spans="16:16" ht="14.25" customHeight="1" x14ac:dyDescent="0.75">
      <c r="P887" s="19"/>
    </row>
    <row r="888" spans="16:16" ht="14.25" customHeight="1" x14ac:dyDescent="0.75">
      <c r="P888" s="19"/>
    </row>
    <row r="889" spans="16:16" ht="14.25" customHeight="1" x14ac:dyDescent="0.75">
      <c r="P889" s="19"/>
    </row>
    <row r="890" spans="16:16" ht="14.25" customHeight="1" x14ac:dyDescent="0.75">
      <c r="P890" s="19"/>
    </row>
    <row r="891" spans="16:16" ht="14.25" customHeight="1" x14ac:dyDescent="0.75">
      <c r="P891" s="19"/>
    </row>
    <row r="892" spans="16:16" ht="14.25" customHeight="1" x14ac:dyDescent="0.75">
      <c r="P892" s="19"/>
    </row>
    <row r="893" spans="16:16" ht="14.25" customHeight="1" x14ac:dyDescent="0.75">
      <c r="P893" s="19"/>
    </row>
    <row r="894" spans="16:16" ht="14.25" customHeight="1" x14ac:dyDescent="0.75">
      <c r="P894" s="19"/>
    </row>
    <row r="895" spans="16:16" ht="14.25" customHeight="1" x14ac:dyDescent="0.75">
      <c r="P895" s="19"/>
    </row>
    <row r="896" spans="16:16" ht="14.25" customHeight="1" x14ac:dyDescent="0.75">
      <c r="P896" s="19"/>
    </row>
    <row r="897" spans="16:16" ht="14.25" customHeight="1" x14ac:dyDescent="0.75">
      <c r="P897" s="19"/>
    </row>
    <row r="898" spans="16:16" ht="14.25" customHeight="1" x14ac:dyDescent="0.75">
      <c r="P898" s="19"/>
    </row>
    <row r="899" spans="16:16" ht="14.25" customHeight="1" x14ac:dyDescent="0.75">
      <c r="P899" s="19"/>
    </row>
    <row r="900" spans="16:16" ht="14.25" customHeight="1" x14ac:dyDescent="0.75">
      <c r="P900" s="19"/>
    </row>
    <row r="901" spans="16:16" ht="14.25" customHeight="1" x14ac:dyDescent="0.75">
      <c r="P901" s="19"/>
    </row>
    <row r="902" spans="16:16" ht="14.25" customHeight="1" x14ac:dyDescent="0.75">
      <c r="P902" s="19"/>
    </row>
    <row r="903" spans="16:16" ht="14.25" customHeight="1" x14ac:dyDescent="0.75">
      <c r="P903" s="19"/>
    </row>
    <row r="904" spans="16:16" ht="14.25" customHeight="1" x14ac:dyDescent="0.75">
      <c r="P904" s="19"/>
    </row>
    <row r="905" spans="16:16" ht="14.25" customHeight="1" x14ac:dyDescent="0.75">
      <c r="P905" s="19"/>
    </row>
    <row r="906" spans="16:16" ht="14.25" customHeight="1" x14ac:dyDescent="0.75">
      <c r="P906" s="19"/>
    </row>
    <row r="907" spans="16:16" ht="14.25" customHeight="1" x14ac:dyDescent="0.75">
      <c r="P907" s="19"/>
    </row>
    <row r="908" spans="16:16" ht="14.25" customHeight="1" x14ac:dyDescent="0.75">
      <c r="P908" s="19"/>
    </row>
    <row r="909" spans="16:16" ht="14.25" customHeight="1" x14ac:dyDescent="0.75">
      <c r="P909" s="19"/>
    </row>
    <row r="910" spans="16:16" ht="14.25" customHeight="1" x14ac:dyDescent="0.75">
      <c r="P910" s="19"/>
    </row>
    <row r="911" spans="16:16" ht="14.25" customHeight="1" x14ac:dyDescent="0.75">
      <c r="P911" s="19"/>
    </row>
    <row r="912" spans="16:16" ht="14.25" customHeight="1" x14ac:dyDescent="0.75">
      <c r="P912" s="19"/>
    </row>
    <row r="913" spans="16:16" ht="14.25" customHeight="1" x14ac:dyDescent="0.75">
      <c r="P913" s="19"/>
    </row>
    <row r="914" spans="16:16" ht="14.25" customHeight="1" x14ac:dyDescent="0.75">
      <c r="P914" s="19"/>
    </row>
    <row r="915" spans="16:16" ht="14.25" customHeight="1" x14ac:dyDescent="0.75">
      <c r="P915" s="19"/>
    </row>
    <row r="916" spans="16:16" ht="14.25" customHeight="1" x14ac:dyDescent="0.75">
      <c r="P916" s="19"/>
    </row>
    <row r="917" spans="16:16" ht="14.25" customHeight="1" x14ac:dyDescent="0.75">
      <c r="P917" s="19"/>
    </row>
    <row r="918" spans="16:16" ht="14.25" customHeight="1" x14ac:dyDescent="0.75">
      <c r="P918" s="19"/>
    </row>
    <row r="919" spans="16:16" ht="14.25" customHeight="1" x14ac:dyDescent="0.75">
      <c r="P919" s="19"/>
    </row>
    <row r="920" spans="16:16" ht="14.25" customHeight="1" x14ac:dyDescent="0.75">
      <c r="P920" s="19"/>
    </row>
    <row r="921" spans="16:16" ht="14.25" customHeight="1" x14ac:dyDescent="0.75">
      <c r="P921" s="19"/>
    </row>
    <row r="922" spans="16:16" ht="14.25" customHeight="1" x14ac:dyDescent="0.75">
      <c r="P922" s="19"/>
    </row>
    <row r="923" spans="16:16" ht="14.25" customHeight="1" x14ac:dyDescent="0.75">
      <c r="P923" s="19"/>
    </row>
    <row r="924" spans="16:16" ht="14.25" customHeight="1" x14ac:dyDescent="0.75">
      <c r="P924" s="19"/>
    </row>
    <row r="925" spans="16:16" ht="14.25" customHeight="1" x14ac:dyDescent="0.75">
      <c r="P925" s="19"/>
    </row>
    <row r="926" spans="16:16" ht="14.25" customHeight="1" x14ac:dyDescent="0.75">
      <c r="P926" s="19"/>
    </row>
    <row r="927" spans="16:16" ht="14.25" customHeight="1" x14ac:dyDescent="0.75">
      <c r="P927" s="19"/>
    </row>
    <row r="928" spans="16:16" ht="14.25" customHeight="1" x14ac:dyDescent="0.75">
      <c r="P928" s="19"/>
    </row>
    <row r="929" spans="16:16" ht="14.25" customHeight="1" x14ac:dyDescent="0.75">
      <c r="P929" s="19"/>
    </row>
    <row r="930" spans="16:16" ht="14.25" customHeight="1" x14ac:dyDescent="0.75">
      <c r="P930" s="19"/>
    </row>
    <row r="931" spans="16:16" ht="14.25" customHeight="1" x14ac:dyDescent="0.75">
      <c r="P931" s="19"/>
    </row>
    <row r="932" spans="16:16" ht="14.25" customHeight="1" x14ac:dyDescent="0.75">
      <c r="P932" s="19"/>
    </row>
    <row r="933" spans="16:16" ht="14.25" customHeight="1" x14ac:dyDescent="0.75">
      <c r="P933" s="19"/>
    </row>
    <row r="934" spans="16:16" ht="14.25" customHeight="1" x14ac:dyDescent="0.75">
      <c r="P934" s="19"/>
    </row>
    <row r="935" spans="16:16" ht="14.25" customHeight="1" x14ac:dyDescent="0.75">
      <c r="P935" s="19"/>
    </row>
    <row r="936" spans="16:16" ht="14.25" customHeight="1" x14ac:dyDescent="0.75">
      <c r="P936" s="19"/>
    </row>
    <row r="937" spans="16:16" ht="14.25" customHeight="1" x14ac:dyDescent="0.75">
      <c r="P937" s="19"/>
    </row>
    <row r="938" spans="16:16" ht="14.25" customHeight="1" x14ac:dyDescent="0.75">
      <c r="P938" s="19"/>
    </row>
    <row r="939" spans="16:16" ht="14.25" customHeight="1" x14ac:dyDescent="0.75">
      <c r="P939" s="19"/>
    </row>
    <row r="940" spans="16:16" ht="14.25" customHeight="1" x14ac:dyDescent="0.75">
      <c r="P940" s="19"/>
    </row>
    <row r="941" spans="16:16" ht="14.25" customHeight="1" x14ac:dyDescent="0.75">
      <c r="P941" s="19"/>
    </row>
    <row r="942" spans="16:16" ht="14.25" customHeight="1" x14ac:dyDescent="0.75">
      <c r="P942" s="19"/>
    </row>
    <row r="943" spans="16:16" ht="14.25" customHeight="1" x14ac:dyDescent="0.75">
      <c r="P943" s="19"/>
    </row>
    <row r="944" spans="16:16" ht="14.25" customHeight="1" x14ac:dyDescent="0.75">
      <c r="P944" s="19"/>
    </row>
    <row r="945" spans="16:16" ht="14.25" customHeight="1" x14ac:dyDescent="0.75">
      <c r="P945" s="19"/>
    </row>
    <row r="946" spans="16:16" ht="14.25" customHeight="1" x14ac:dyDescent="0.75">
      <c r="P946" s="19"/>
    </row>
    <row r="947" spans="16:16" ht="14.25" customHeight="1" x14ac:dyDescent="0.75">
      <c r="P947" s="19"/>
    </row>
    <row r="948" spans="16:16" ht="14.25" customHeight="1" x14ac:dyDescent="0.75">
      <c r="P948" s="19"/>
    </row>
    <row r="949" spans="16:16" ht="14.25" customHeight="1" x14ac:dyDescent="0.75">
      <c r="P949" s="19"/>
    </row>
    <row r="950" spans="16:16" ht="14.25" customHeight="1" x14ac:dyDescent="0.75">
      <c r="P950" s="19"/>
    </row>
    <row r="951" spans="16:16" ht="14.25" customHeight="1" x14ac:dyDescent="0.75">
      <c r="P951" s="19"/>
    </row>
    <row r="952" spans="16:16" ht="14.25" customHeight="1" x14ac:dyDescent="0.75">
      <c r="P952" s="19"/>
    </row>
    <row r="953" spans="16:16" ht="14.25" customHeight="1" x14ac:dyDescent="0.75">
      <c r="P953" s="19"/>
    </row>
    <row r="954" spans="16:16" ht="14.25" customHeight="1" x14ac:dyDescent="0.75">
      <c r="P954" s="19"/>
    </row>
    <row r="955" spans="16:16" ht="14.25" customHeight="1" x14ac:dyDescent="0.75">
      <c r="P955" s="19"/>
    </row>
    <row r="956" spans="16:16" ht="14.25" customHeight="1" x14ac:dyDescent="0.75">
      <c r="P956" s="19"/>
    </row>
    <row r="957" spans="16:16" ht="14.25" customHeight="1" x14ac:dyDescent="0.75">
      <c r="P957" s="19"/>
    </row>
    <row r="958" spans="16:16" ht="14.25" customHeight="1" x14ac:dyDescent="0.75">
      <c r="P958" s="19"/>
    </row>
    <row r="959" spans="16:16" ht="14.25" customHeight="1" x14ac:dyDescent="0.75">
      <c r="P959" s="19"/>
    </row>
    <row r="960" spans="16:16" ht="14.25" customHeight="1" x14ac:dyDescent="0.75">
      <c r="P960" s="19"/>
    </row>
    <row r="961" spans="16:16" ht="14.25" customHeight="1" x14ac:dyDescent="0.75">
      <c r="P961" s="19"/>
    </row>
    <row r="962" spans="16:16" ht="14.25" customHeight="1" x14ac:dyDescent="0.75">
      <c r="P962" s="19"/>
    </row>
    <row r="963" spans="16:16" ht="14.25" customHeight="1" x14ac:dyDescent="0.75">
      <c r="P963" s="19"/>
    </row>
    <row r="964" spans="16:16" ht="14.25" customHeight="1" x14ac:dyDescent="0.75">
      <c r="P964" s="19"/>
    </row>
    <row r="965" spans="16:16" ht="14.25" customHeight="1" x14ac:dyDescent="0.75">
      <c r="P965" s="19"/>
    </row>
    <row r="966" spans="16:16" ht="14.25" customHeight="1" x14ac:dyDescent="0.75">
      <c r="P966" s="19"/>
    </row>
    <row r="967" spans="16:16" ht="14.25" customHeight="1" x14ac:dyDescent="0.75">
      <c r="P967" s="19"/>
    </row>
    <row r="968" spans="16:16" ht="14.25" customHeight="1" x14ac:dyDescent="0.75">
      <c r="P968" s="19"/>
    </row>
    <row r="969" spans="16:16" ht="14.25" customHeight="1" x14ac:dyDescent="0.75">
      <c r="P969" s="19"/>
    </row>
    <row r="970" spans="16:16" ht="14.25" customHeight="1" x14ac:dyDescent="0.75">
      <c r="P970" s="19"/>
    </row>
    <row r="971" spans="16:16" ht="14.25" customHeight="1" x14ac:dyDescent="0.75">
      <c r="P971" s="19"/>
    </row>
    <row r="972" spans="16:16" ht="14.25" customHeight="1" x14ac:dyDescent="0.75">
      <c r="P972" s="19"/>
    </row>
    <row r="973" spans="16:16" ht="14.25" customHeight="1" x14ac:dyDescent="0.75">
      <c r="P973" s="19"/>
    </row>
    <row r="974" spans="16:16" ht="14.25" customHeight="1" x14ac:dyDescent="0.75">
      <c r="P974" s="19"/>
    </row>
    <row r="975" spans="16:16" ht="14.25" customHeight="1" x14ac:dyDescent="0.75">
      <c r="P975" s="19"/>
    </row>
    <row r="976" spans="16:16" ht="14.25" customHeight="1" x14ac:dyDescent="0.75">
      <c r="P976" s="19"/>
    </row>
    <row r="977" spans="16:16" ht="14.25" customHeight="1" x14ac:dyDescent="0.75">
      <c r="P977" s="19"/>
    </row>
    <row r="978" spans="16:16" ht="14.25" customHeight="1" x14ac:dyDescent="0.75">
      <c r="P978" s="19"/>
    </row>
    <row r="979" spans="16:16" ht="14.25" customHeight="1" x14ac:dyDescent="0.75">
      <c r="P979" s="19"/>
    </row>
    <row r="980" spans="16:16" ht="14.25" customHeight="1" x14ac:dyDescent="0.75">
      <c r="P980" s="19"/>
    </row>
    <row r="981" spans="16:16" ht="14.25" customHeight="1" x14ac:dyDescent="0.75">
      <c r="P981" s="19"/>
    </row>
    <row r="982" spans="16:16" ht="14.25" customHeight="1" x14ac:dyDescent="0.75">
      <c r="P982" s="19"/>
    </row>
    <row r="983" spans="16:16" ht="14.25" customHeight="1" x14ac:dyDescent="0.75">
      <c r="P983" s="19"/>
    </row>
    <row r="984" spans="16:16" ht="14.25" customHeight="1" x14ac:dyDescent="0.75">
      <c r="P984" s="19"/>
    </row>
    <row r="985" spans="16:16" ht="14.25" customHeight="1" x14ac:dyDescent="0.75">
      <c r="P985" s="19"/>
    </row>
    <row r="986" spans="16:16" ht="14.25" customHeight="1" x14ac:dyDescent="0.75">
      <c r="P986" s="19"/>
    </row>
    <row r="987" spans="16:16" ht="14.25" customHeight="1" x14ac:dyDescent="0.75">
      <c r="P987" s="19"/>
    </row>
    <row r="988" spans="16:16" ht="14.25" customHeight="1" x14ac:dyDescent="0.75">
      <c r="P988" s="19"/>
    </row>
    <row r="989" spans="16:16" ht="14.25" customHeight="1" x14ac:dyDescent="0.75">
      <c r="P989" s="19"/>
    </row>
    <row r="990" spans="16:16" ht="14.25" customHeight="1" x14ac:dyDescent="0.75">
      <c r="P990" s="19"/>
    </row>
    <row r="991" spans="16:16" ht="14.25" customHeight="1" x14ac:dyDescent="0.75">
      <c r="P991" s="19"/>
    </row>
    <row r="992" spans="16:16" ht="14.25" customHeight="1" x14ac:dyDescent="0.75">
      <c r="P992" s="19"/>
    </row>
    <row r="993" spans="16:16" ht="14.25" customHeight="1" x14ac:dyDescent="0.75">
      <c r="P993" s="19"/>
    </row>
    <row r="994" spans="16:16" ht="14.25" customHeight="1" x14ac:dyDescent="0.75">
      <c r="P994" s="19"/>
    </row>
    <row r="995" spans="16:16" ht="14.25" customHeight="1" x14ac:dyDescent="0.75">
      <c r="P995" s="19"/>
    </row>
    <row r="996" spans="16:16" ht="14.25" customHeight="1" x14ac:dyDescent="0.75">
      <c r="P996" s="19"/>
    </row>
    <row r="997" spans="16:16" ht="14.25" customHeight="1" x14ac:dyDescent="0.75">
      <c r="P997" s="19"/>
    </row>
    <row r="998" spans="16:16" ht="14.25" customHeight="1" x14ac:dyDescent="0.75">
      <c r="P998" s="19"/>
    </row>
    <row r="999" spans="16:16" ht="14.25" customHeight="1" x14ac:dyDescent="0.75">
      <c r="P999" s="19"/>
    </row>
    <row r="1000" spans="16:16" ht="14.25" customHeight="1" x14ac:dyDescent="0.75">
      <c r="P1000" s="19"/>
    </row>
    <row r="1001" spans="16:16" ht="14.25" customHeight="1" x14ac:dyDescent="0.75">
      <c r="P1001" s="19"/>
    </row>
    <row r="1002" spans="16:16" ht="14.25" customHeight="1" x14ac:dyDescent="0.75">
      <c r="P1002" s="19"/>
    </row>
    <row r="1003" spans="16:16" ht="14.25" customHeight="1" x14ac:dyDescent="0.75">
      <c r="P1003" s="19"/>
    </row>
    <row r="1004" spans="16:16" ht="14.25" customHeight="1" x14ac:dyDescent="0.75">
      <c r="P1004" s="19"/>
    </row>
    <row r="1005" spans="16:16" ht="14.25" customHeight="1" x14ac:dyDescent="0.75">
      <c r="P1005" s="19"/>
    </row>
  </sheetData>
  <conditionalFormatting sqref="B14:M98">
    <cfRule type="colorScale" priority="1">
      <colorScale>
        <cfvo type="min"/>
        <cfvo type="percentile" val="40"/>
        <cfvo type="max"/>
        <color rgb="FFF8696B"/>
        <color rgb="FFFFEB84"/>
        <color rgb="FF63BE7B"/>
      </colorScale>
    </cfRule>
  </conditionalFormatting>
  <conditionalFormatting sqref="C1:G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9"/>
  <sheetViews>
    <sheetView tabSelected="1" workbookViewId="0">
      <selection activeCell="A11" sqref="A11"/>
    </sheetView>
  </sheetViews>
  <sheetFormatPr defaultColWidth="14.40625" defaultRowHeight="15" customHeight="1" x14ac:dyDescent="0.75"/>
  <cols>
    <col min="1" max="1" width="41.54296875" customWidth="1"/>
    <col min="2" max="5" width="4.54296875" customWidth="1"/>
    <col min="6" max="6" width="4.54296875" hidden="1" customWidth="1"/>
    <col min="7" max="7" width="4.54296875" customWidth="1"/>
    <col min="8" max="8" width="4.54296875" hidden="1" customWidth="1"/>
    <col min="9" max="9" width="4.54296875" customWidth="1"/>
    <col min="10" max="13" width="4.40625" customWidth="1"/>
    <col min="14" max="25" width="8.6796875" customWidth="1"/>
  </cols>
  <sheetData>
    <row r="1" spans="1:20" ht="14.25" customHeight="1" x14ac:dyDescent="0.75">
      <c r="A1" s="20" t="s">
        <v>43</v>
      </c>
      <c r="B1" s="9" t="str">
        <f>Matrix!B3</f>
        <v>Bloomberg</v>
      </c>
      <c r="C1" s="9" t="str">
        <f>Matrix!C3</f>
        <v>Robinhood</v>
      </c>
      <c r="D1" s="9" t="str">
        <f>Matrix!D3</f>
        <v>Fidelity</v>
      </c>
      <c r="E1" s="9" t="str">
        <f>Matrix!E3</f>
        <v>Investopedia Sim</v>
      </c>
      <c r="F1" s="9" t="str">
        <f>Matrix!F3</f>
        <v>TradingView</v>
      </c>
      <c r="G1" s="9" t="str">
        <f>Matrix!G3</f>
        <v>Ally Invest</v>
      </c>
      <c r="H1" s="9" t="str">
        <f>Matrix!H3</f>
        <v>Empower</v>
      </c>
      <c r="I1" s="9" t="str">
        <f>Matrix!I3</f>
        <v>Charles Schwab</v>
      </c>
      <c r="J1" s="9" t="str">
        <f>Matrix!J3</f>
        <v>TD Bank</v>
      </c>
      <c r="K1" s="9" t="str">
        <f>Matrix!K3</f>
        <v>T. Rowe Price</v>
      </c>
      <c r="L1" s="10" t="str">
        <f>Matrix!L3</f>
        <v>Vanguard</v>
      </c>
      <c r="M1" s="10" t="str">
        <f>Matrix!M3</f>
        <v>Webull</v>
      </c>
    </row>
    <row r="2" spans="1:20" ht="14.25" customHeight="1" x14ac:dyDescent="0.75">
      <c r="A2" s="21" t="s">
        <v>131</v>
      </c>
      <c r="B2" s="22">
        <f>Matrix!B15</f>
        <v>1</v>
      </c>
      <c r="C2" s="23">
        <f>Matrix!C15</f>
        <v>5</v>
      </c>
      <c r="D2" s="24">
        <f>Matrix!D15</f>
        <v>5</v>
      </c>
      <c r="E2" s="23">
        <f>Matrix!E15</f>
        <v>5</v>
      </c>
      <c r="F2" s="23">
        <f>Matrix!F15</f>
        <v>1</v>
      </c>
      <c r="G2" s="24">
        <f>Matrix!G15</f>
        <v>4</v>
      </c>
      <c r="H2" s="25">
        <f>Matrix!H15</f>
        <v>3</v>
      </c>
      <c r="I2" s="24">
        <f>Matrix!I15</f>
        <v>4</v>
      </c>
      <c r="J2" s="24">
        <f>Matrix!J15</f>
        <v>1</v>
      </c>
      <c r="K2" s="24">
        <f>Matrix!K15</f>
        <v>2</v>
      </c>
      <c r="L2" s="23">
        <f>Matrix!L15</f>
        <v>3</v>
      </c>
      <c r="M2" s="26">
        <f>Matrix!M15</f>
        <v>5</v>
      </c>
      <c r="P2" s="27" t="s">
        <v>132</v>
      </c>
    </row>
    <row r="3" spans="1:20" ht="14.25" customHeight="1" x14ac:dyDescent="0.75">
      <c r="A3" s="28" t="s">
        <v>133</v>
      </c>
      <c r="B3" s="29">
        <f>Matrix!B16</f>
        <v>1</v>
      </c>
      <c r="C3" s="13">
        <f>Matrix!C16</f>
        <v>3</v>
      </c>
      <c r="D3" s="14">
        <f>Matrix!D16</f>
        <v>3</v>
      </c>
      <c r="E3" s="13">
        <f>Matrix!E16</f>
        <v>2</v>
      </c>
      <c r="F3" s="13">
        <f>Matrix!F16</f>
        <v>1</v>
      </c>
      <c r="G3" s="14">
        <f>Matrix!G16</f>
        <v>3</v>
      </c>
      <c r="H3" s="15">
        <f>Matrix!H16</f>
        <v>1</v>
      </c>
      <c r="I3" s="14">
        <f>Matrix!I16</f>
        <v>4</v>
      </c>
      <c r="J3" s="14">
        <f>Matrix!J16</f>
        <v>1</v>
      </c>
      <c r="K3" s="14">
        <f>Matrix!K16</f>
        <v>1</v>
      </c>
      <c r="L3" s="13">
        <f>Matrix!L16</f>
        <v>2</v>
      </c>
      <c r="M3" s="30">
        <f>Matrix!M16</f>
        <v>5</v>
      </c>
      <c r="P3" s="12" t="s">
        <v>134</v>
      </c>
    </row>
    <row r="4" spans="1:20" ht="14.25" customHeight="1" x14ac:dyDescent="0.75">
      <c r="A4" s="28" t="s">
        <v>135</v>
      </c>
      <c r="B4" s="31">
        <f>Matrix!B17</f>
        <v>4</v>
      </c>
      <c r="C4" s="16">
        <f>Matrix!C17</f>
        <v>4</v>
      </c>
      <c r="D4" s="17">
        <f>Matrix!D17</f>
        <v>3</v>
      </c>
      <c r="E4" s="16">
        <f>Matrix!E17</f>
        <v>3</v>
      </c>
      <c r="F4" s="16">
        <f>Matrix!F17</f>
        <v>2</v>
      </c>
      <c r="G4" s="17">
        <f>Matrix!G17</f>
        <v>3</v>
      </c>
      <c r="H4" s="18">
        <f>Matrix!H17</f>
        <v>3</v>
      </c>
      <c r="I4" s="17">
        <f>Matrix!I17</f>
        <v>3</v>
      </c>
      <c r="J4" s="17">
        <f>Matrix!J17</f>
        <v>3</v>
      </c>
      <c r="K4" s="17">
        <f>Matrix!K17</f>
        <v>2</v>
      </c>
      <c r="L4" s="16">
        <f>Matrix!L17</f>
        <v>3</v>
      </c>
      <c r="M4" s="32">
        <f>Matrix!M17</f>
        <v>4</v>
      </c>
      <c r="Q4" s="12" t="s">
        <v>136</v>
      </c>
    </row>
    <row r="5" spans="1:20" ht="14.25" customHeight="1" x14ac:dyDescent="0.75">
      <c r="A5" s="28" t="s">
        <v>47</v>
      </c>
      <c r="B5" s="33">
        <f>Matrix!B18</f>
        <v>5</v>
      </c>
      <c r="C5" s="18">
        <f>Matrix!C18</f>
        <v>2</v>
      </c>
      <c r="D5" s="16">
        <f>Matrix!D18</f>
        <v>3</v>
      </c>
      <c r="E5" s="17">
        <f>Matrix!E18</f>
        <v>3</v>
      </c>
      <c r="F5" s="16">
        <f>Matrix!F18</f>
        <v>3</v>
      </c>
      <c r="G5" s="17">
        <f>Matrix!G18</f>
        <v>3</v>
      </c>
      <c r="H5" s="16">
        <f>Matrix!H18</f>
        <v>2</v>
      </c>
      <c r="I5" s="16">
        <f>Matrix!I18</f>
        <v>3</v>
      </c>
      <c r="J5" s="16">
        <f>Matrix!J18</f>
        <v>4</v>
      </c>
      <c r="K5" s="17">
        <f>Matrix!K18</f>
        <v>2</v>
      </c>
      <c r="L5" s="16">
        <f>Matrix!L18</f>
        <v>2</v>
      </c>
      <c r="M5" s="32">
        <f>Matrix!M18</f>
        <v>2</v>
      </c>
    </row>
    <row r="6" spans="1:20" ht="14.25" customHeight="1" x14ac:dyDescent="0.75">
      <c r="A6" s="28" t="s">
        <v>48</v>
      </c>
      <c r="B6" s="31">
        <f>Matrix!B19</f>
        <v>5</v>
      </c>
      <c r="C6" s="16">
        <f>Matrix!C19</f>
        <v>3</v>
      </c>
      <c r="D6" s="16">
        <f>Matrix!D19</f>
        <v>3</v>
      </c>
      <c r="E6" s="16">
        <f>Matrix!E19</f>
        <v>5</v>
      </c>
      <c r="F6" s="16">
        <f>Matrix!F19</f>
        <v>1</v>
      </c>
      <c r="G6" s="18">
        <f>Matrix!G19</f>
        <v>4</v>
      </c>
      <c r="H6" s="18">
        <f>Matrix!H19</f>
        <v>3</v>
      </c>
      <c r="I6" s="18">
        <f>Matrix!I19</f>
        <v>4</v>
      </c>
      <c r="J6" s="16">
        <f>Matrix!J19</f>
        <v>1</v>
      </c>
      <c r="K6" s="17">
        <f>Matrix!K19</f>
        <v>2</v>
      </c>
      <c r="L6" s="18">
        <f>Matrix!L19</f>
        <v>2</v>
      </c>
      <c r="M6" s="34">
        <f>Matrix!M19</f>
        <v>1</v>
      </c>
    </row>
    <row r="7" spans="1:20" ht="14.25" customHeight="1" x14ac:dyDescent="0.75">
      <c r="A7" s="28" t="s">
        <v>137</v>
      </c>
      <c r="B7" s="35">
        <f>Matrix!B20</f>
        <v>4</v>
      </c>
      <c r="C7" s="18">
        <f>Matrix!C20</f>
        <v>3</v>
      </c>
      <c r="D7" s="17">
        <f>Matrix!D20</f>
        <v>4</v>
      </c>
      <c r="E7" s="16">
        <f>Matrix!E20</f>
        <v>3</v>
      </c>
      <c r="F7" s="18">
        <f>Matrix!F20</f>
        <v>4</v>
      </c>
      <c r="G7" s="18">
        <f>Matrix!G20</f>
        <v>3</v>
      </c>
      <c r="H7" s="16">
        <f>Matrix!H20</f>
        <v>3</v>
      </c>
      <c r="I7" s="16">
        <f>Matrix!I20</f>
        <v>4</v>
      </c>
      <c r="J7" s="17">
        <f>Matrix!J20</f>
        <v>3</v>
      </c>
      <c r="K7" s="18">
        <f>Matrix!K20</f>
        <v>3</v>
      </c>
      <c r="L7" s="17">
        <f>Matrix!L20</f>
        <v>3</v>
      </c>
      <c r="M7" s="34">
        <f>Matrix!M20</f>
        <v>3</v>
      </c>
    </row>
    <row r="8" spans="1:20" ht="14.25" customHeight="1" x14ac:dyDescent="0.75">
      <c r="A8" s="28" t="s">
        <v>50</v>
      </c>
      <c r="B8" s="35">
        <f>Matrix!B21</f>
        <v>2</v>
      </c>
      <c r="C8" s="18">
        <f>Matrix!C21</f>
        <v>2</v>
      </c>
      <c r="D8" s="17">
        <f>Matrix!D21</f>
        <v>3</v>
      </c>
      <c r="E8" s="16">
        <f>Matrix!E21</f>
        <v>2</v>
      </c>
      <c r="F8" s="18">
        <f>Matrix!F21</f>
        <v>2</v>
      </c>
      <c r="G8" s="18">
        <f>Matrix!G21</f>
        <v>3</v>
      </c>
      <c r="H8" s="16">
        <f>Matrix!H21</f>
        <v>2</v>
      </c>
      <c r="I8" s="16">
        <f>Matrix!I21</f>
        <v>5</v>
      </c>
      <c r="J8" s="17">
        <f>Matrix!J21</f>
        <v>2</v>
      </c>
      <c r="K8" s="18">
        <f>Matrix!K21</f>
        <v>3</v>
      </c>
      <c r="L8" s="17">
        <f>Matrix!L21</f>
        <v>4</v>
      </c>
      <c r="M8" s="34">
        <f>Matrix!M21</f>
        <v>2</v>
      </c>
    </row>
    <row r="9" spans="1:20" ht="14.25" customHeight="1" x14ac:dyDescent="0.75">
      <c r="A9" s="36" t="s">
        <v>138</v>
      </c>
      <c r="B9" s="36">
        <f t="shared" ref="B9:M9" si="0">SUM(B2:B8)</f>
        <v>22</v>
      </c>
      <c r="C9" s="37">
        <f t="shared" si="0"/>
        <v>22</v>
      </c>
      <c r="D9" s="37">
        <f t="shared" si="0"/>
        <v>24</v>
      </c>
      <c r="E9" s="37">
        <f t="shared" si="0"/>
        <v>23</v>
      </c>
      <c r="F9" s="37">
        <f t="shared" si="0"/>
        <v>14</v>
      </c>
      <c r="G9" s="37">
        <f t="shared" si="0"/>
        <v>23</v>
      </c>
      <c r="H9" s="37">
        <f t="shared" si="0"/>
        <v>17</v>
      </c>
      <c r="I9" s="37">
        <f t="shared" si="0"/>
        <v>27</v>
      </c>
      <c r="J9" s="38">
        <f t="shared" si="0"/>
        <v>15</v>
      </c>
      <c r="K9" s="38">
        <f t="shared" si="0"/>
        <v>15</v>
      </c>
      <c r="L9" s="38">
        <f t="shared" si="0"/>
        <v>19</v>
      </c>
      <c r="M9" s="39">
        <f t="shared" si="0"/>
        <v>22</v>
      </c>
      <c r="O9" s="40" t="s">
        <v>1</v>
      </c>
      <c r="P9" s="41" t="s">
        <v>2</v>
      </c>
      <c r="Q9" s="42" t="s">
        <v>3</v>
      </c>
      <c r="R9" s="43" t="s">
        <v>4</v>
      </c>
      <c r="S9" s="44" t="s">
        <v>5</v>
      </c>
      <c r="T9" s="45"/>
    </row>
    <row r="10" spans="1:20" ht="14.25" customHeight="1" x14ac:dyDescent="0.75"/>
    <row r="11" spans="1:20" ht="14.25" customHeight="1" x14ac:dyDescent="0.75"/>
    <row r="12" spans="1:20" ht="14.25" customHeight="1" x14ac:dyDescent="0.75"/>
    <row r="13" spans="1:20" ht="14.25" customHeight="1" x14ac:dyDescent="0.75"/>
    <row r="14" spans="1:20" ht="14.25" customHeight="1" x14ac:dyDescent="0.75"/>
    <row r="15" spans="1:20" ht="14.25" customHeight="1" x14ac:dyDescent="0.75"/>
    <row r="16" spans="1:20" ht="14.25" customHeight="1" x14ac:dyDescent="0.75"/>
    <row r="17" ht="14.25" customHeight="1" x14ac:dyDescent="0.75"/>
    <row r="18" ht="14.25" customHeight="1" x14ac:dyDescent="0.75"/>
    <row r="19" ht="14.25" customHeight="1" x14ac:dyDescent="0.75"/>
    <row r="20" ht="14.25" customHeight="1" x14ac:dyDescent="0.75"/>
    <row r="21" ht="14.25" customHeight="1" x14ac:dyDescent="0.75"/>
    <row r="22" ht="14.25" customHeight="1" x14ac:dyDescent="0.75"/>
    <row r="23" ht="14.25" customHeight="1" x14ac:dyDescent="0.75"/>
    <row r="24" ht="14.25" customHeight="1" x14ac:dyDescent="0.75"/>
    <row r="25" ht="14.25" customHeight="1" x14ac:dyDescent="0.75"/>
    <row r="26" ht="14.25" customHeight="1" x14ac:dyDescent="0.75"/>
    <row r="27" ht="14.25" customHeight="1" x14ac:dyDescent="0.75"/>
    <row r="28" ht="14.25" customHeight="1" x14ac:dyDescent="0.75"/>
    <row r="29" ht="14.25" customHeight="1" x14ac:dyDescent="0.75"/>
    <row r="30" ht="14.25" customHeight="1" x14ac:dyDescent="0.75"/>
    <row r="31" ht="14.25" customHeight="1" x14ac:dyDescent="0.75"/>
    <row r="32" ht="14.25" customHeight="1" x14ac:dyDescent="0.75"/>
    <row r="33" ht="14.25" customHeight="1" x14ac:dyDescent="0.75"/>
    <row r="34" ht="14.25" customHeight="1" x14ac:dyDescent="0.75"/>
    <row r="35" ht="14.25" customHeight="1" x14ac:dyDescent="0.75"/>
    <row r="36" ht="14.25" customHeight="1" x14ac:dyDescent="0.75"/>
    <row r="37" ht="14.25" customHeight="1" x14ac:dyDescent="0.75"/>
    <row r="38" ht="14.25" customHeight="1" x14ac:dyDescent="0.75"/>
    <row r="39" ht="14.25" customHeight="1" x14ac:dyDescent="0.75"/>
    <row r="40" ht="14.25" customHeight="1" x14ac:dyDescent="0.75"/>
    <row r="41" ht="14.25" customHeight="1" x14ac:dyDescent="0.75"/>
    <row r="42" ht="14.25" customHeight="1" x14ac:dyDescent="0.75"/>
    <row r="43" ht="14.25" customHeight="1" x14ac:dyDescent="0.75"/>
    <row r="44" ht="14.25" customHeight="1" x14ac:dyDescent="0.75"/>
    <row r="45" ht="14.25" customHeight="1" x14ac:dyDescent="0.75"/>
    <row r="46" ht="14.25" customHeight="1" x14ac:dyDescent="0.75"/>
    <row r="47" ht="14.25" customHeight="1" x14ac:dyDescent="0.75"/>
    <row r="48" ht="14.25" customHeight="1" x14ac:dyDescent="0.75"/>
    <row r="49" ht="14.25" customHeight="1" x14ac:dyDescent="0.75"/>
    <row r="50" ht="14.25" customHeight="1" x14ac:dyDescent="0.75"/>
    <row r="51" ht="14.25" customHeight="1" x14ac:dyDescent="0.75"/>
    <row r="52" ht="14.25" customHeight="1" x14ac:dyDescent="0.75"/>
    <row r="53" ht="14.25" customHeight="1" x14ac:dyDescent="0.75"/>
    <row r="54" ht="14.25" customHeight="1" x14ac:dyDescent="0.75"/>
    <row r="55" ht="14.25" customHeight="1" x14ac:dyDescent="0.75"/>
    <row r="56" ht="14.25" customHeight="1" x14ac:dyDescent="0.75"/>
    <row r="57" ht="14.25" customHeight="1" x14ac:dyDescent="0.75"/>
    <row r="58" ht="14.25" customHeight="1" x14ac:dyDescent="0.75"/>
    <row r="59" ht="14.25" customHeight="1" x14ac:dyDescent="0.75"/>
    <row r="60" ht="14.25" customHeight="1" x14ac:dyDescent="0.75"/>
    <row r="61" ht="14.25" customHeight="1" x14ac:dyDescent="0.75"/>
    <row r="62" ht="14.25" customHeight="1" x14ac:dyDescent="0.75"/>
    <row r="63" ht="14.25" customHeight="1" x14ac:dyDescent="0.75"/>
    <row r="64" ht="14.25" customHeight="1" x14ac:dyDescent="0.75"/>
    <row r="65" ht="14.25" customHeight="1" x14ac:dyDescent="0.75"/>
    <row r="66" ht="14.25" customHeight="1" x14ac:dyDescent="0.75"/>
    <row r="67" ht="14.25" customHeight="1" x14ac:dyDescent="0.75"/>
    <row r="68" ht="14.25" customHeight="1" x14ac:dyDescent="0.75"/>
    <row r="69" ht="14.25" customHeight="1" x14ac:dyDescent="0.75"/>
    <row r="70" ht="14.25" customHeight="1" x14ac:dyDescent="0.75"/>
    <row r="71" ht="14.25" customHeight="1" x14ac:dyDescent="0.75"/>
    <row r="72" ht="14.25" customHeight="1" x14ac:dyDescent="0.75"/>
    <row r="73" ht="14.25" customHeight="1" x14ac:dyDescent="0.75"/>
    <row r="74" ht="14.25" customHeight="1" x14ac:dyDescent="0.75"/>
    <row r="75" ht="14.25" customHeight="1" x14ac:dyDescent="0.75"/>
    <row r="76" ht="14.25" customHeight="1" x14ac:dyDescent="0.75"/>
    <row r="77" ht="14.25" customHeight="1" x14ac:dyDescent="0.75"/>
    <row r="78" ht="14.25" customHeight="1" x14ac:dyDescent="0.75"/>
    <row r="79" ht="14.25" customHeight="1" x14ac:dyDescent="0.75"/>
    <row r="80" ht="14.25" customHeight="1" x14ac:dyDescent="0.75"/>
    <row r="81" ht="14.25" customHeight="1" x14ac:dyDescent="0.75"/>
    <row r="82" ht="14.25" customHeight="1" x14ac:dyDescent="0.75"/>
    <row r="83" ht="14.25" customHeight="1" x14ac:dyDescent="0.75"/>
    <row r="84" ht="14.25" customHeight="1" x14ac:dyDescent="0.75"/>
    <row r="85" ht="14.25" customHeight="1" x14ac:dyDescent="0.75"/>
    <row r="86" ht="14.25" customHeight="1" x14ac:dyDescent="0.75"/>
    <row r="87" ht="14.25" customHeight="1" x14ac:dyDescent="0.75"/>
    <row r="88" ht="14.25" customHeight="1" x14ac:dyDescent="0.75"/>
    <row r="89" ht="14.25" customHeight="1" x14ac:dyDescent="0.75"/>
    <row r="90" ht="14.25" customHeight="1" x14ac:dyDescent="0.75"/>
    <row r="91" ht="14.25" customHeight="1" x14ac:dyDescent="0.75"/>
    <row r="92" ht="14.25" customHeight="1" x14ac:dyDescent="0.75"/>
    <row r="93" ht="14.25" customHeight="1" x14ac:dyDescent="0.75"/>
    <row r="94" ht="14.25" customHeight="1" x14ac:dyDescent="0.75"/>
    <row r="95" ht="14.25" customHeight="1" x14ac:dyDescent="0.75"/>
    <row r="96" ht="14.25" customHeight="1" x14ac:dyDescent="0.75"/>
    <row r="97" ht="14.25" customHeight="1" x14ac:dyDescent="0.75"/>
    <row r="98" ht="14.25" customHeight="1" x14ac:dyDescent="0.75"/>
    <row r="99" ht="14.25" customHeight="1" x14ac:dyDescent="0.75"/>
    <row r="100" ht="14.25" customHeight="1" x14ac:dyDescent="0.75"/>
    <row r="101" ht="14.25" customHeight="1" x14ac:dyDescent="0.75"/>
    <row r="102" ht="14.25" customHeight="1" x14ac:dyDescent="0.75"/>
    <row r="103" ht="14.25" customHeight="1" x14ac:dyDescent="0.75"/>
    <row r="104" ht="14.25" customHeight="1" x14ac:dyDescent="0.75"/>
    <row r="105" ht="14.25" customHeight="1" x14ac:dyDescent="0.75"/>
    <row r="106" ht="14.25" customHeight="1" x14ac:dyDescent="0.75"/>
    <row r="107" ht="14.25" customHeight="1" x14ac:dyDescent="0.75"/>
    <row r="108" ht="14.25" customHeight="1" x14ac:dyDescent="0.75"/>
    <row r="109" ht="14.25" customHeight="1" x14ac:dyDescent="0.75"/>
    <row r="110" ht="14.25" customHeight="1" x14ac:dyDescent="0.75"/>
    <row r="111" ht="14.25" customHeight="1" x14ac:dyDescent="0.75"/>
    <row r="112" ht="14.25" customHeight="1" x14ac:dyDescent="0.75"/>
    <row r="113" ht="14.25" customHeight="1" x14ac:dyDescent="0.75"/>
    <row r="114" ht="14.25" customHeight="1" x14ac:dyDescent="0.75"/>
    <row r="115" ht="14.25" customHeight="1" x14ac:dyDescent="0.75"/>
    <row r="116" ht="14.25" customHeight="1" x14ac:dyDescent="0.75"/>
    <row r="117" ht="14.25" customHeight="1" x14ac:dyDescent="0.75"/>
    <row r="118" ht="14.25" customHeight="1" x14ac:dyDescent="0.75"/>
    <row r="119" ht="14.25" customHeight="1" x14ac:dyDescent="0.75"/>
    <row r="120" ht="14.25" customHeight="1" x14ac:dyDescent="0.75"/>
    <row r="121" ht="14.25" customHeight="1" x14ac:dyDescent="0.75"/>
    <row r="122" ht="14.25" customHeight="1" x14ac:dyDescent="0.75"/>
    <row r="123" ht="14.25" customHeight="1" x14ac:dyDescent="0.75"/>
    <row r="124" ht="14.25" customHeight="1" x14ac:dyDescent="0.75"/>
    <row r="125" ht="14.25" customHeight="1" x14ac:dyDescent="0.75"/>
    <row r="126" ht="14.25" customHeight="1" x14ac:dyDescent="0.75"/>
    <row r="127" ht="14.25" customHeight="1" x14ac:dyDescent="0.75"/>
    <row r="128" ht="14.25" customHeight="1" x14ac:dyDescent="0.75"/>
    <row r="129" ht="14.25" customHeight="1" x14ac:dyDescent="0.75"/>
    <row r="130" ht="14.25" customHeight="1" x14ac:dyDescent="0.75"/>
    <row r="131" ht="14.25" customHeight="1" x14ac:dyDescent="0.75"/>
    <row r="132" ht="14.25" customHeight="1" x14ac:dyDescent="0.75"/>
    <row r="133" ht="14.25" customHeight="1" x14ac:dyDescent="0.75"/>
    <row r="134" ht="14.25" customHeight="1" x14ac:dyDescent="0.75"/>
    <row r="135" ht="14.25" customHeight="1" x14ac:dyDescent="0.75"/>
    <row r="136" ht="14.25" customHeight="1" x14ac:dyDescent="0.75"/>
    <row r="137" ht="14.25" customHeight="1" x14ac:dyDescent="0.75"/>
    <row r="138" ht="14.25" customHeight="1" x14ac:dyDescent="0.75"/>
    <row r="139" ht="14.25" customHeight="1" x14ac:dyDescent="0.75"/>
    <row r="140" ht="14.25" customHeight="1" x14ac:dyDescent="0.75"/>
    <row r="141" ht="14.25" customHeight="1" x14ac:dyDescent="0.75"/>
    <row r="142" ht="14.25" customHeight="1" x14ac:dyDescent="0.75"/>
    <row r="143" ht="14.25" customHeight="1" x14ac:dyDescent="0.75"/>
    <row r="144" ht="14.25" customHeight="1" x14ac:dyDescent="0.75"/>
    <row r="145" ht="14.25" customHeight="1" x14ac:dyDescent="0.75"/>
    <row r="146" ht="14.25" customHeight="1" x14ac:dyDescent="0.75"/>
    <row r="147" ht="14.25" customHeight="1" x14ac:dyDescent="0.75"/>
    <row r="148" ht="14.25" customHeight="1" x14ac:dyDescent="0.75"/>
    <row r="149" ht="14.25" customHeight="1" x14ac:dyDescent="0.75"/>
    <row r="150" ht="14.25" customHeight="1" x14ac:dyDescent="0.75"/>
    <row r="151" ht="14.25" customHeight="1" x14ac:dyDescent="0.75"/>
    <row r="152" ht="14.25" customHeight="1" x14ac:dyDescent="0.75"/>
    <row r="153" ht="14.25" customHeight="1" x14ac:dyDescent="0.75"/>
    <row r="154" ht="14.25" customHeight="1" x14ac:dyDescent="0.75"/>
    <row r="155" ht="14.25" customHeight="1" x14ac:dyDescent="0.75"/>
    <row r="156" ht="14.25" customHeight="1" x14ac:dyDescent="0.75"/>
    <row r="157" ht="14.25" customHeight="1" x14ac:dyDescent="0.75"/>
    <row r="158" ht="14.25" customHeight="1" x14ac:dyDescent="0.75"/>
    <row r="159" ht="14.25" customHeight="1" x14ac:dyDescent="0.75"/>
    <row r="160" ht="14.25" customHeight="1" x14ac:dyDescent="0.75"/>
    <row r="161" ht="14.25" customHeight="1" x14ac:dyDescent="0.75"/>
    <row r="162" ht="14.25" customHeight="1" x14ac:dyDescent="0.75"/>
    <row r="163" ht="14.25" customHeight="1" x14ac:dyDescent="0.75"/>
    <row r="164" ht="14.25" customHeight="1" x14ac:dyDescent="0.75"/>
    <row r="165" ht="14.25" customHeight="1" x14ac:dyDescent="0.75"/>
    <row r="166" ht="14.25" customHeight="1" x14ac:dyDescent="0.75"/>
    <row r="167" ht="14.25" customHeight="1" x14ac:dyDescent="0.75"/>
    <row r="168" ht="14.25" customHeight="1" x14ac:dyDescent="0.75"/>
    <row r="169" ht="14.25" customHeight="1" x14ac:dyDescent="0.75"/>
    <row r="170" ht="14.25" customHeight="1" x14ac:dyDescent="0.75"/>
    <row r="171" ht="14.25" customHeight="1" x14ac:dyDescent="0.75"/>
    <row r="172" ht="14.25" customHeight="1" x14ac:dyDescent="0.75"/>
    <row r="173" ht="14.25" customHeight="1" x14ac:dyDescent="0.75"/>
    <row r="174" ht="14.25" customHeight="1" x14ac:dyDescent="0.75"/>
    <row r="175" ht="14.25" customHeight="1" x14ac:dyDescent="0.75"/>
    <row r="176" ht="14.25" customHeight="1" x14ac:dyDescent="0.75"/>
    <row r="177" ht="14.25" customHeight="1" x14ac:dyDescent="0.75"/>
    <row r="178" ht="14.25" customHeight="1" x14ac:dyDescent="0.75"/>
    <row r="179" ht="14.25" customHeight="1" x14ac:dyDescent="0.75"/>
    <row r="180" ht="14.25" customHeight="1" x14ac:dyDescent="0.75"/>
    <row r="181" ht="14.25" customHeight="1" x14ac:dyDescent="0.75"/>
    <row r="182" ht="14.25" customHeight="1" x14ac:dyDescent="0.75"/>
    <row r="183" ht="14.25" customHeight="1" x14ac:dyDescent="0.75"/>
    <row r="184" ht="14.25" customHeight="1" x14ac:dyDescent="0.75"/>
    <row r="185" ht="14.25" customHeight="1" x14ac:dyDescent="0.75"/>
    <row r="186" ht="14.25" customHeight="1" x14ac:dyDescent="0.75"/>
    <row r="187" ht="14.25" customHeight="1" x14ac:dyDescent="0.75"/>
    <row r="188" ht="14.25" customHeight="1" x14ac:dyDescent="0.75"/>
    <row r="189" ht="14.25" customHeight="1" x14ac:dyDescent="0.75"/>
    <row r="190" ht="14.25" customHeight="1" x14ac:dyDescent="0.75"/>
    <row r="191" ht="14.25" customHeight="1" x14ac:dyDescent="0.75"/>
    <row r="192" ht="14.25" customHeight="1" x14ac:dyDescent="0.75"/>
    <row r="193" ht="14.25" customHeight="1" x14ac:dyDescent="0.75"/>
    <row r="194" ht="14.25" customHeight="1" x14ac:dyDescent="0.75"/>
    <row r="195" ht="14.25" customHeight="1" x14ac:dyDescent="0.75"/>
    <row r="196" ht="14.25" customHeight="1" x14ac:dyDescent="0.75"/>
    <row r="197" ht="14.25" customHeight="1" x14ac:dyDescent="0.75"/>
    <row r="198" ht="14.25" customHeight="1" x14ac:dyDescent="0.75"/>
    <row r="199" ht="14.25" customHeight="1" x14ac:dyDescent="0.75"/>
    <row r="200" ht="14.25" customHeight="1" x14ac:dyDescent="0.75"/>
    <row r="201" ht="14.25" customHeight="1" x14ac:dyDescent="0.75"/>
    <row r="202" ht="14.25" customHeight="1" x14ac:dyDescent="0.75"/>
    <row r="203" ht="14.25" customHeight="1" x14ac:dyDescent="0.75"/>
    <row r="204" ht="14.25" customHeight="1" x14ac:dyDescent="0.75"/>
    <row r="205" ht="14.25" customHeight="1" x14ac:dyDescent="0.75"/>
    <row r="206" ht="14.25" customHeight="1" x14ac:dyDescent="0.75"/>
    <row r="207" ht="14.25" customHeight="1" x14ac:dyDescent="0.75"/>
    <row r="208" ht="14.25" customHeight="1" x14ac:dyDescent="0.75"/>
    <row r="209" ht="14.25" customHeight="1" x14ac:dyDescent="0.75"/>
    <row r="210" ht="14.25" customHeight="1" x14ac:dyDescent="0.75"/>
    <row r="211" ht="14.25" customHeight="1" x14ac:dyDescent="0.75"/>
    <row r="212" ht="14.25" customHeight="1" x14ac:dyDescent="0.75"/>
    <row r="213" ht="14.25" customHeight="1" x14ac:dyDescent="0.75"/>
    <row r="214" ht="14.25" customHeight="1" x14ac:dyDescent="0.75"/>
    <row r="215" ht="14.25" customHeight="1" x14ac:dyDescent="0.75"/>
    <row r="216" ht="14.25" customHeight="1" x14ac:dyDescent="0.75"/>
    <row r="217" ht="14.25" customHeight="1" x14ac:dyDescent="0.75"/>
    <row r="218" ht="14.25" customHeight="1" x14ac:dyDescent="0.75"/>
    <row r="219" ht="14.25" customHeight="1" x14ac:dyDescent="0.75"/>
    <row r="220" ht="14.25" customHeight="1" x14ac:dyDescent="0.75"/>
    <row r="221" ht="14.25" customHeight="1" x14ac:dyDescent="0.75"/>
    <row r="222" ht="14.25" customHeight="1" x14ac:dyDescent="0.75"/>
    <row r="223" ht="14.25" customHeight="1" x14ac:dyDescent="0.75"/>
    <row r="224" ht="14.25" customHeight="1" x14ac:dyDescent="0.75"/>
    <row r="225" ht="14.25" customHeight="1" x14ac:dyDescent="0.75"/>
    <row r="226" ht="14.25" customHeight="1" x14ac:dyDescent="0.75"/>
    <row r="227" ht="14.25" customHeight="1" x14ac:dyDescent="0.75"/>
    <row r="228" ht="14.25" customHeight="1" x14ac:dyDescent="0.75"/>
    <row r="229" ht="14.25" customHeight="1" x14ac:dyDescent="0.75"/>
    <row r="230" ht="14.25" customHeight="1" x14ac:dyDescent="0.75"/>
    <row r="231" ht="14.25" customHeight="1" x14ac:dyDescent="0.75"/>
    <row r="232" ht="14.25" customHeight="1" x14ac:dyDescent="0.75"/>
    <row r="233" ht="14.25" customHeight="1" x14ac:dyDescent="0.75"/>
    <row r="234" ht="14.25" customHeight="1" x14ac:dyDescent="0.75"/>
    <row r="235" ht="14.25" customHeight="1" x14ac:dyDescent="0.75"/>
    <row r="236" ht="14.25" customHeight="1" x14ac:dyDescent="0.75"/>
    <row r="237" ht="14.25" customHeight="1" x14ac:dyDescent="0.75"/>
    <row r="238" ht="14.25" customHeight="1" x14ac:dyDescent="0.75"/>
    <row r="239" ht="14.25" customHeight="1" x14ac:dyDescent="0.75"/>
    <row r="240" ht="14.25" customHeight="1" x14ac:dyDescent="0.75"/>
    <row r="241" ht="14.25" customHeight="1" x14ac:dyDescent="0.75"/>
    <row r="242" ht="14.25" customHeight="1" x14ac:dyDescent="0.75"/>
    <row r="243" ht="14.25" customHeight="1" x14ac:dyDescent="0.75"/>
    <row r="244" ht="14.25" customHeight="1" x14ac:dyDescent="0.75"/>
    <row r="245" ht="14.25" customHeight="1" x14ac:dyDescent="0.75"/>
    <row r="246" ht="14.25" customHeight="1" x14ac:dyDescent="0.75"/>
    <row r="247" ht="14.25" customHeight="1" x14ac:dyDescent="0.75"/>
    <row r="248" ht="14.25" customHeight="1" x14ac:dyDescent="0.75"/>
    <row r="249" ht="14.25" customHeight="1" x14ac:dyDescent="0.75"/>
    <row r="250" ht="14.25" customHeight="1" x14ac:dyDescent="0.75"/>
    <row r="251" ht="14.25" customHeight="1" x14ac:dyDescent="0.75"/>
    <row r="252" ht="14.25" customHeight="1" x14ac:dyDescent="0.75"/>
    <row r="253" ht="14.25" customHeight="1" x14ac:dyDescent="0.75"/>
    <row r="254" ht="14.25" customHeight="1" x14ac:dyDescent="0.75"/>
    <row r="255" ht="14.25" customHeight="1" x14ac:dyDescent="0.75"/>
    <row r="256" ht="14.25" customHeight="1" x14ac:dyDescent="0.75"/>
    <row r="257" ht="14.25" customHeight="1" x14ac:dyDescent="0.75"/>
    <row r="258" ht="14.25" customHeight="1" x14ac:dyDescent="0.75"/>
    <row r="259" ht="14.25" customHeight="1" x14ac:dyDescent="0.75"/>
    <row r="260" ht="14.25" customHeight="1" x14ac:dyDescent="0.75"/>
    <row r="261" ht="14.25" customHeight="1" x14ac:dyDescent="0.75"/>
    <row r="262" ht="14.25" customHeight="1" x14ac:dyDescent="0.75"/>
    <row r="263" ht="14.25" customHeight="1" x14ac:dyDescent="0.75"/>
    <row r="264" ht="14.25" customHeight="1" x14ac:dyDescent="0.75"/>
    <row r="265" ht="14.25" customHeight="1" x14ac:dyDescent="0.75"/>
    <row r="266" ht="14.25" customHeight="1" x14ac:dyDescent="0.75"/>
    <row r="267" ht="14.25" customHeight="1" x14ac:dyDescent="0.75"/>
    <row r="268" ht="14.25" customHeight="1" x14ac:dyDescent="0.75"/>
    <row r="269" ht="14.25" customHeight="1" x14ac:dyDescent="0.75"/>
    <row r="270" ht="14.25" customHeight="1" x14ac:dyDescent="0.75"/>
    <row r="271" ht="14.25" customHeight="1" x14ac:dyDescent="0.75"/>
    <row r="272" ht="14.25" customHeight="1" x14ac:dyDescent="0.75"/>
    <row r="273" ht="14.25" customHeight="1" x14ac:dyDescent="0.75"/>
    <row r="274" ht="14.25" customHeight="1" x14ac:dyDescent="0.75"/>
    <row r="275" ht="14.25" customHeight="1" x14ac:dyDescent="0.75"/>
    <row r="276" ht="14.25" customHeight="1" x14ac:dyDescent="0.75"/>
    <row r="277" ht="14.25" customHeight="1" x14ac:dyDescent="0.75"/>
    <row r="278" ht="14.25" customHeight="1" x14ac:dyDescent="0.75"/>
    <row r="279" ht="14.25" customHeight="1" x14ac:dyDescent="0.75"/>
    <row r="280" ht="14.25" customHeight="1" x14ac:dyDescent="0.75"/>
    <row r="281" ht="14.25" customHeight="1" x14ac:dyDescent="0.75"/>
    <row r="282" ht="14.25" customHeight="1" x14ac:dyDescent="0.75"/>
    <row r="283" ht="14.25" customHeight="1" x14ac:dyDescent="0.75"/>
    <row r="284" ht="14.25" customHeight="1" x14ac:dyDescent="0.75"/>
    <row r="285" ht="14.25" customHeight="1" x14ac:dyDescent="0.75"/>
    <row r="286" ht="14.25" customHeight="1" x14ac:dyDescent="0.75"/>
    <row r="287" ht="14.25" customHeight="1" x14ac:dyDescent="0.75"/>
    <row r="288" ht="14.25" customHeight="1" x14ac:dyDescent="0.75"/>
    <row r="289" ht="14.25" customHeight="1" x14ac:dyDescent="0.75"/>
    <row r="290" ht="14.25" customHeight="1" x14ac:dyDescent="0.75"/>
    <row r="291" ht="14.25" customHeight="1" x14ac:dyDescent="0.75"/>
    <row r="292" ht="14.25" customHeight="1" x14ac:dyDescent="0.75"/>
    <row r="293" ht="14.25" customHeight="1" x14ac:dyDescent="0.75"/>
    <row r="294" ht="14.25" customHeight="1" x14ac:dyDescent="0.75"/>
    <row r="295" ht="14.25" customHeight="1" x14ac:dyDescent="0.75"/>
    <row r="296" ht="14.25" customHeight="1" x14ac:dyDescent="0.75"/>
    <row r="297" ht="14.25" customHeight="1" x14ac:dyDescent="0.75"/>
    <row r="298" ht="14.25" customHeight="1" x14ac:dyDescent="0.75"/>
    <row r="299" ht="14.25" customHeight="1" x14ac:dyDescent="0.75"/>
    <row r="300" ht="14.25" customHeight="1" x14ac:dyDescent="0.75"/>
    <row r="301" ht="14.25" customHeight="1" x14ac:dyDescent="0.75"/>
    <row r="302" ht="14.25" customHeight="1" x14ac:dyDescent="0.75"/>
    <row r="303" ht="14.25" customHeight="1" x14ac:dyDescent="0.75"/>
    <row r="304" ht="14.25" customHeight="1" x14ac:dyDescent="0.75"/>
    <row r="305" ht="14.25" customHeight="1" x14ac:dyDescent="0.75"/>
    <row r="306" ht="14.25" customHeight="1" x14ac:dyDescent="0.75"/>
    <row r="307" ht="14.25" customHeight="1" x14ac:dyDescent="0.75"/>
    <row r="308" ht="14.25" customHeight="1" x14ac:dyDescent="0.75"/>
    <row r="309" ht="14.25" customHeight="1" x14ac:dyDescent="0.75"/>
    <row r="310" ht="14.25" customHeight="1" x14ac:dyDescent="0.75"/>
    <row r="311" ht="14.25" customHeight="1" x14ac:dyDescent="0.75"/>
    <row r="312" ht="14.25" customHeight="1" x14ac:dyDescent="0.75"/>
    <row r="313" ht="14.25" customHeight="1" x14ac:dyDescent="0.75"/>
    <row r="314" ht="14.25" customHeight="1" x14ac:dyDescent="0.75"/>
    <row r="315" ht="14.25" customHeight="1" x14ac:dyDescent="0.75"/>
    <row r="316" ht="14.25" customHeight="1" x14ac:dyDescent="0.75"/>
    <row r="317" ht="14.25" customHeight="1" x14ac:dyDescent="0.75"/>
    <row r="318" ht="14.25" customHeight="1" x14ac:dyDescent="0.75"/>
    <row r="319" ht="14.25" customHeight="1" x14ac:dyDescent="0.75"/>
    <row r="320" ht="14.25" customHeight="1" x14ac:dyDescent="0.75"/>
    <row r="321" ht="14.25" customHeight="1" x14ac:dyDescent="0.75"/>
    <row r="322" ht="14.25" customHeight="1" x14ac:dyDescent="0.75"/>
    <row r="323" ht="14.25" customHeight="1" x14ac:dyDescent="0.75"/>
    <row r="324" ht="14.25" customHeight="1" x14ac:dyDescent="0.75"/>
    <row r="325" ht="14.25" customHeight="1" x14ac:dyDescent="0.75"/>
    <row r="326" ht="14.25" customHeight="1" x14ac:dyDescent="0.75"/>
    <row r="327" ht="14.25" customHeight="1" x14ac:dyDescent="0.75"/>
    <row r="328" ht="14.25" customHeight="1" x14ac:dyDescent="0.75"/>
    <row r="329" ht="14.25" customHeight="1" x14ac:dyDescent="0.75"/>
    <row r="330" ht="14.25" customHeight="1" x14ac:dyDescent="0.75"/>
    <row r="331" ht="14.25" customHeight="1" x14ac:dyDescent="0.75"/>
    <row r="332" ht="14.25" customHeight="1" x14ac:dyDescent="0.75"/>
    <row r="333" ht="14.25" customHeight="1" x14ac:dyDescent="0.75"/>
    <row r="334" ht="14.25" customHeight="1" x14ac:dyDescent="0.75"/>
    <row r="335" ht="14.25" customHeight="1" x14ac:dyDescent="0.75"/>
    <row r="336" ht="14.25" customHeight="1" x14ac:dyDescent="0.75"/>
    <row r="337" ht="14.25" customHeight="1" x14ac:dyDescent="0.75"/>
    <row r="338" ht="14.25" customHeight="1" x14ac:dyDescent="0.75"/>
    <row r="339" ht="14.25" customHeight="1" x14ac:dyDescent="0.75"/>
    <row r="340" ht="14.25" customHeight="1" x14ac:dyDescent="0.75"/>
    <row r="341" ht="14.25" customHeight="1" x14ac:dyDescent="0.75"/>
    <row r="342" ht="14.25" customHeight="1" x14ac:dyDescent="0.75"/>
    <row r="343" ht="14.25" customHeight="1" x14ac:dyDescent="0.75"/>
    <row r="344" ht="14.25" customHeight="1" x14ac:dyDescent="0.75"/>
    <row r="345" ht="14.25" customHeight="1" x14ac:dyDescent="0.75"/>
    <row r="346" ht="14.25" customHeight="1" x14ac:dyDescent="0.75"/>
    <row r="347" ht="14.25" customHeight="1" x14ac:dyDescent="0.75"/>
    <row r="348" ht="14.25" customHeight="1" x14ac:dyDescent="0.75"/>
    <row r="349" ht="14.25" customHeight="1" x14ac:dyDescent="0.75"/>
    <row r="350" ht="14.25" customHeight="1" x14ac:dyDescent="0.75"/>
    <row r="351" ht="14.25" customHeight="1" x14ac:dyDescent="0.75"/>
    <row r="352" ht="14.25" customHeight="1" x14ac:dyDescent="0.75"/>
    <row r="353" ht="14.25" customHeight="1" x14ac:dyDescent="0.75"/>
    <row r="354" ht="14.25" customHeight="1" x14ac:dyDescent="0.75"/>
    <row r="355" ht="14.25" customHeight="1" x14ac:dyDescent="0.75"/>
    <row r="356" ht="14.25" customHeight="1" x14ac:dyDescent="0.75"/>
    <row r="357" ht="14.25" customHeight="1" x14ac:dyDescent="0.75"/>
    <row r="358" ht="14.25" customHeight="1" x14ac:dyDescent="0.75"/>
    <row r="359" ht="14.25" customHeight="1" x14ac:dyDescent="0.75"/>
    <row r="360" ht="14.25" customHeight="1" x14ac:dyDescent="0.75"/>
    <row r="361" ht="14.25" customHeight="1" x14ac:dyDescent="0.75"/>
    <row r="362" ht="14.25" customHeight="1" x14ac:dyDescent="0.75"/>
    <row r="363" ht="14.25" customHeight="1" x14ac:dyDescent="0.75"/>
    <row r="364" ht="14.25" customHeight="1" x14ac:dyDescent="0.75"/>
    <row r="365" ht="14.25" customHeight="1" x14ac:dyDescent="0.75"/>
    <row r="366" ht="14.25" customHeight="1" x14ac:dyDescent="0.75"/>
    <row r="367" ht="14.25" customHeight="1" x14ac:dyDescent="0.75"/>
    <row r="368" ht="14.25" customHeight="1" x14ac:dyDescent="0.75"/>
    <row r="369" ht="14.25" customHeight="1" x14ac:dyDescent="0.75"/>
    <row r="370" ht="14.25" customHeight="1" x14ac:dyDescent="0.75"/>
    <row r="371" ht="14.25" customHeight="1" x14ac:dyDescent="0.75"/>
    <row r="372" ht="14.25" customHeight="1" x14ac:dyDescent="0.75"/>
    <row r="373" ht="14.25" customHeight="1" x14ac:dyDescent="0.75"/>
    <row r="374" ht="14.25" customHeight="1" x14ac:dyDescent="0.75"/>
    <row r="375" ht="14.25" customHeight="1" x14ac:dyDescent="0.75"/>
    <row r="376" ht="14.25" customHeight="1" x14ac:dyDescent="0.75"/>
    <row r="377" ht="14.25" customHeight="1" x14ac:dyDescent="0.75"/>
    <row r="378" ht="14.25" customHeight="1" x14ac:dyDescent="0.75"/>
    <row r="379" ht="14.25" customHeight="1" x14ac:dyDescent="0.75"/>
    <row r="380" ht="14.25" customHeight="1" x14ac:dyDescent="0.75"/>
    <row r="381" ht="14.25" customHeight="1" x14ac:dyDescent="0.75"/>
    <row r="382" ht="14.25" customHeight="1" x14ac:dyDescent="0.75"/>
    <row r="383" ht="14.25" customHeight="1" x14ac:dyDescent="0.75"/>
    <row r="384" ht="14.25" customHeight="1" x14ac:dyDescent="0.75"/>
    <row r="385" ht="14.25" customHeight="1" x14ac:dyDescent="0.75"/>
    <row r="386" ht="14.25" customHeight="1" x14ac:dyDescent="0.75"/>
    <row r="387" ht="14.25" customHeight="1" x14ac:dyDescent="0.75"/>
    <row r="388" ht="14.25" customHeight="1" x14ac:dyDescent="0.75"/>
    <row r="389" ht="14.25" customHeight="1" x14ac:dyDescent="0.75"/>
    <row r="390" ht="14.25" customHeight="1" x14ac:dyDescent="0.75"/>
    <row r="391" ht="14.25" customHeight="1" x14ac:dyDescent="0.75"/>
    <row r="392" ht="14.25" customHeight="1" x14ac:dyDescent="0.75"/>
    <row r="393" ht="14.25" customHeight="1" x14ac:dyDescent="0.75"/>
    <row r="394" ht="14.25" customHeight="1" x14ac:dyDescent="0.75"/>
    <row r="395" ht="14.25" customHeight="1" x14ac:dyDescent="0.75"/>
    <row r="396" ht="14.25" customHeight="1" x14ac:dyDescent="0.75"/>
    <row r="397" ht="14.25" customHeight="1" x14ac:dyDescent="0.75"/>
    <row r="398" ht="14.25" customHeight="1" x14ac:dyDescent="0.75"/>
    <row r="399" ht="14.25" customHeight="1" x14ac:dyDescent="0.75"/>
    <row r="400" ht="14.25" customHeight="1" x14ac:dyDescent="0.75"/>
    <row r="401" ht="14.25" customHeight="1" x14ac:dyDescent="0.75"/>
    <row r="402" ht="14.25" customHeight="1" x14ac:dyDescent="0.75"/>
    <row r="403" ht="14.25" customHeight="1" x14ac:dyDescent="0.75"/>
    <row r="404" ht="14.25" customHeight="1" x14ac:dyDescent="0.75"/>
    <row r="405" ht="14.25" customHeight="1" x14ac:dyDescent="0.75"/>
    <row r="406" ht="14.25" customHeight="1" x14ac:dyDescent="0.75"/>
    <row r="407" ht="14.25" customHeight="1" x14ac:dyDescent="0.75"/>
    <row r="408" ht="14.25" customHeight="1" x14ac:dyDescent="0.75"/>
    <row r="409" ht="14.25" customHeight="1" x14ac:dyDescent="0.75"/>
    <row r="410" ht="14.25" customHeight="1" x14ac:dyDescent="0.75"/>
    <row r="411" ht="14.25" customHeight="1" x14ac:dyDescent="0.75"/>
    <row r="412" ht="14.25" customHeight="1" x14ac:dyDescent="0.75"/>
    <row r="413" ht="14.25" customHeight="1" x14ac:dyDescent="0.75"/>
    <row r="414" ht="14.25" customHeight="1" x14ac:dyDescent="0.75"/>
    <row r="415" ht="14.25" customHeight="1" x14ac:dyDescent="0.75"/>
    <row r="416" ht="14.25" customHeight="1" x14ac:dyDescent="0.75"/>
    <row r="417" ht="14.25" customHeight="1" x14ac:dyDescent="0.75"/>
    <row r="418" ht="14.25" customHeight="1" x14ac:dyDescent="0.75"/>
    <row r="419" ht="14.25" customHeight="1" x14ac:dyDescent="0.75"/>
    <row r="420" ht="14.25" customHeight="1" x14ac:dyDescent="0.75"/>
    <row r="421" ht="14.25" customHeight="1" x14ac:dyDescent="0.75"/>
    <row r="422" ht="14.25" customHeight="1" x14ac:dyDescent="0.75"/>
    <row r="423" ht="14.25" customHeight="1" x14ac:dyDescent="0.75"/>
    <row r="424" ht="14.25" customHeight="1" x14ac:dyDescent="0.75"/>
    <row r="425" ht="14.25" customHeight="1" x14ac:dyDescent="0.75"/>
    <row r="426" ht="14.25" customHeight="1" x14ac:dyDescent="0.75"/>
    <row r="427" ht="14.25" customHeight="1" x14ac:dyDescent="0.75"/>
    <row r="428" ht="14.25" customHeight="1" x14ac:dyDescent="0.75"/>
    <row r="429" ht="14.25" customHeight="1" x14ac:dyDescent="0.75"/>
    <row r="430" ht="14.25" customHeight="1" x14ac:dyDescent="0.75"/>
    <row r="431" ht="14.25" customHeight="1" x14ac:dyDescent="0.75"/>
    <row r="432" ht="14.25" customHeight="1" x14ac:dyDescent="0.75"/>
    <row r="433" ht="14.25" customHeight="1" x14ac:dyDescent="0.75"/>
    <row r="434" ht="14.25" customHeight="1" x14ac:dyDescent="0.75"/>
    <row r="435" ht="14.25" customHeight="1" x14ac:dyDescent="0.75"/>
    <row r="436" ht="14.25" customHeight="1" x14ac:dyDescent="0.75"/>
    <row r="437" ht="14.25" customHeight="1" x14ac:dyDescent="0.75"/>
    <row r="438" ht="14.25" customHeight="1" x14ac:dyDescent="0.75"/>
    <row r="439" ht="14.25" customHeight="1" x14ac:dyDescent="0.75"/>
    <row r="440" ht="14.25" customHeight="1" x14ac:dyDescent="0.75"/>
    <row r="441" ht="14.25" customHeight="1" x14ac:dyDescent="0.75"/>
    <row r="442" ht="14.25" customHeight="1" x14ac:dyDescent="0.75"/>
    <row r="443" ht="14.25" customHeight="1" x14ac:dyDescent="0.75"/>
    <row r="444" ht="14.25" customHeight="1" x14ac:dyDescent="0.75"/>
    <row r="445" ht="14.25" customHeight="1" x14ac:dyDescent="0.75"/>
    <row r="446" ht="14.25" customHeight="1" x14ac:dyDescent="0.75"/>
    <row r="447" ht="14.25" customHeight="1" x14ac:dyDescent="0.75"/>
    <row r="448" ht="14.25" customHeight="1" x14ac:dyDescent="0.75"/>
    <row r="449" ht="14.25" customHeight="1" x14ac:dyDescent="0.75"/>
    <row r="450" ht="14.25" customHeight="1" x14ac:dyDescent="0.75"/>
    <row r="451" ht="14.25" customHeight="1" x14ac:dyDescent="0.75"/>
    <row r="452" ht="14.25" customHeight="1" x14ac:dyDescent="0.75"/>
    <row r="453" ht="14.25" customHeight="1" x14ac:dyDescent="0.75"/>
    <row r="454" ht="14.25" customHeight="1" x14ac:dyDescent="0.75"/>
    <row r="455" ht="14.25" customHeight="1" x14ac:dyDescent="0.75"/>
    <row r="456" ht="14.25" customHeight="1" x14ac:dyDescent="0.75"/>
    <row r="457" ht="14.25" customHeight="1" x14ac:dyDescent="0.75"/>
    <row r="458" ht="14.25" customHeight="1" x14ac:dyDescent="0.75"/>
    <row r="459" ht="14.25" customHeight="1" x14ac:dyDescent="0.75"/>
    <row r="460" ht="14.25" customHeight="1" x14ac:dyDescent="0.75"/>
    <row r="461" ht="14.25" customHeight="1" x14ac:dyDescent="0.75"/>
    <row r="462" ht="14.25" customHeight="1" x14ac:dyDescent="0.75"/>
    <row r="463" ht="14.25" customHeight="1" x14ac:dyDescent="0.75"/>
    <row r="464" ht="14.25" customHeight="1" x14ac:dyDescent="0.75"/>
    <row r="465" ht="14.25" customHeight="1" x14ac:dyDescent="0.75"/>
    <row r="466" ht="14.25" customHeight="1" x14ac:dyDescent="0.75"/>
    <row r="467" ht="14.25" customHeight="1" x14ac:dyDescent="0.75"/>
    <row r="468" ht="14.25" customHeight="1" x14ac:dyDescent="0.75"/>
    <row r="469" ht="14.25" customHeight="1" x14ac:dyDescent="0.75"/>
    <row r="470" ht="14.25" customHeight="1" x14ac:dyDescent="0.75"/>
    <row r="471" ht="14.25" customHeight="1" x14ac:dyDescent="0.75"/>
    <row r="472" ht="14.25" customHeight="1" x14ac:dyDescent="0.75"/>
    <row r="473" ht="14.25" customHeight="1" x14ac:dyDescent="0.75"/>
    <row r="474" ht="14.25" customHeight="1" x14ac:dyDescent="0.75"/>
    <row r="475" ht="14.25" customHeight="1" x14ac:dyDescent="0.75"/>
    <row r="476" ht="14.25" customHeight="1" x14ac:dyDescent="0.75"/>
    <row r="477" ht="14.25" customHeight="1" x14ac:dyDescent="0.75"/>
    <row r="478" ht="14.25" customHeight="1" x14ac:dyDescent="0.75"/>
    <row r="479" ht="14.25" customHeight="1" x14ac:dyDescent="0.75"/>
    <row r="480" ht="14.25" customHeight="1" x14ac:dyDescent="0.75"/>
    <row r="481" ht="14.25" customHeight="1" x14ac:dyDescent="0.75"/>
    <row r="482" ht="14.25" customHeight="1" x14ac:dyDescent="0.75"/>
    <row r="483" ht="14.25" customHeight="1" x14ac:dyDescent="0.75"/>
    <row r="484" ht="14.25" customHeight="1" x14ac:dyDescent="0.75"/>
    <row r="485" ht="14.25" customHeight="1" x14ac:dyDescent="0.75"/>
    <row r="486" ht="14.25" customHeight="1" x14ac:dyDescent="0.75"/>
    <row r="487" ht="14.25" customHeight="1" x14ac:dyDescent="0.75"/>
    <row r="488" ht="14.25" customHeight="1" x14ac:dyDescent="0.75"/>
    <row r="489" ht="14.25" customHeight="1" x14ac:dyDescent="0.75"/>
    <row r="490" ht="14.25" customHeight="1" x14ac:dyDescent="0.75"/>
    <row r="491" ht="14.25" customHeight="1" x14ac:dyDescent="0.75"/>
    <row r="492" ht="14.25" customHeight="1" x14ac:dyDescent="0.75"/>
    <row r="493" ht="14.25" customHeight="1" x14ac:dyDescent="0.75"/>
    <row r="494" ht="14.25" customHeight="1" x14ac:dyDescent="0.75"/>
    <row r="495" ht="14.25" customHeight="1" x14ac:dyDescent="0.75"/>
    <row r="496" ht="14.25" customHeight="1" x14ac:dyDescent="0.75"/>
    <row r="497" ht="14.25" customHeight="1" x14ac:dyDescent="0.75"/>
    <row r="498" ht="14.25" customHeight="1" x14ac:dyDescent="0.75"/>
    <row r="499" ht="14.25" customHeight="1" x14ac:dyDescent="0.75"/>
    <row r="500" ht="14.25" customHeight="1" x14ac:dyDescent="0.75"/>
    <row r="501" ht="14.25" customHeight="1" x14ac:dyDescent="0.75"/>
    <row r="502" ht="14.25" customHeight="1" x14ac:dyDescent="0.75"/>
    <row r="503" ht="14.25" customHeight="1" x14ac:dyDescent="0.75"/>
    <row r="504" ht="14.25" customHeight="1" x14ac:dyDescent="0.75"/>
    <row r="505" ht="14.25" customHeight="1" x14ac:dyDescent="0.75"/>
    <row r="506" ht="14.25" customHeight="1" x14ac:dyDescent="0.75"/>
    <row r="507" ht="14.25" customHeight="1" x14ac:dyDescent="0.75"/>
    <row r="508" ht="14.25" customHeight="1" x14ac:dyDescent="0.75"/>
    <row r="509" ht="14.25" customHeight="1" x14ac:dyDescent="0.75"/>
    <row r="510" ht="14.25" customHeight="1" x14ac:dyDescent="0.75"/>
    <row r="511" ht="14.25" customHeight="1" x14ac:dyDescent="0.75"/>
    <row r="512" ht="14.25" customHeight="1" x14ac:dyDescent="0.75"/>
    <row r="513" ht="14.25" customHeight="1" x14ac:dyDescent="0.75"/>
    <row r="514" ht="14.25" customHeight="1" x14ac:dyDescent="0.75"/>
    <row r="515" ht="14.25" customHeight="1" x14ac:dyDescent="0.75"/>
    <row r="516" ht="14.25" customHeight="1" x14ac:dyDescent="0.75"/>
    <row r="517" ht="14.25" customHeight="1" x14ac:dyDescent="0.75"/>
    <row r="518" ht="14.25" customHeight="1" x14ac:dyDescent="0.75"/>
    <row r="519" ht="14.25" customHeight="1" x14ac:dyDescent="0.75"/>
    <row r="520" ht="14.25" customHeight="1" x14ac:dyDescent="0.75"/>
    <row r="521" ht="14.25" customHeight="1" x14ac:dyDescent="0.75"/>
    <row r="522" ht="14.25" customHeight="1" x14ac:dyDescent="0.75"/>
    <row r="523" ht="14.25" customHeight="1" x14ac:dyDescent="0.75"/>
    <row r="524" ht="14.25" customHeight="1" x14ac:dyDescent="0.75"/>
    <row r="525" ht="14.25" customHeight="1" x14ac:dyDescent="0.75"/>
    <row r="526" ht="14.25" customHeight="1" x14ac:dyDescent="0.75"/>
    <row r="527" ht="14.25" customHeight="1" x14ac:dyDescent="0.75"/>
    <row r="528" ht="14.25" customHeight="1" x14ac:dyDescent="0.75"/>
    <row r="529" ht="14.25" customHeight="1" x14ac:dyDescent="0.75"/>
    <row r="530" ht="14.25" customHeight="1" x14ac:dyDescent="0.75"/>
    <row r="531" ht="14.25" customHeight="1" x14ac:dyDescent="0.75"/>
    <row r="532" ht="14.25" customHeight="1" x14ac:dyDescent="0.75"/>
    <row r="533" ht="14.25" customHeight="1" x14ac:dyDescent="0.75"/>
    <row r="534" ht="14.25" customHeight="1" x14ac:dyDescent="0.75"/>
    <row r="535" ht="14.25" customHeight="1" x14ac:dyDescent="0.75"/>
    <row r="536" ht="14.25" customHeight="1" x14ac:dyDescent="0.75"/>
    <row r="537" ht="14.25" customHeight="1" x14ac:dyDescent="0.75"/>
    <row r="538" ht="14.25" customHeight="1" x14ac:dyDescent="0.75"/>
    <row r="539" ht="14.25" customHeight="1" x14ac:dyDescent="0.75"/>
    <row r="540" ht="14.25" customHeight="1" x14ac:dyDescent="0.75"/>
    <row r="541" ht="14.25" customHeight="1" x14ac:dyDescent="0.75"/>
    <row r="542" ht="14.25" customHeight="1" x14ac:dyDescent="0.75"/>
    <row r="543" ht="14.25" customHeight="1" x14ac:dyDescent="0.75"/>
    <row r="544" ht="14.25" customHeight="1" x14ac:dyDescent="0.75"/>
    <row r="545" ht="14.25" customHeight="1" x14ac:dyDescent="0.75"/>
    <row r="546" ht="14.25" customHeight="1" x14ac:dyDescent="0.75"/>
    <row r="547" ht="14.25" customHeight="1" x14ac:dyDescent="0.75"/>
    <row r="548" ht="14.25" customHeight="1" x14ac:dyDescent="0.75"/>
    <row r="549" ht="14.25" customHeight="1" x14ac:dyDescent="0.75"/>
    <row r="550" ht="14.25" customHeight="1" x14ac:dyDescent="0.75"/>
    <row r="551" ht="14.25" customHeight="1" x14ac:dyDescent="0.75"/>
    <row r="552" ht="14.25" customHeight="1" x14ac:dyDescent="0.75"/>
    <row r="553" ht="14.25" customHeight="1" x14ac:dyDescent="0.75"/>
    <row r="554" ht="14.25" customHeight="1" x14ac:dyDescent="0.75"/>
    <row r="555" ht="14.25" customHeight="1" x14ac:dyDescent="0.75"/>
    <row r="556" ht="14.25" customHeight="1" x14ac:dyDescent="0.75"/>
    <row r="557" ht="14.25" customHeight="1" x14ac:dyDescent="0.75"/>
    <row r="558" ht="14.25" customHeight="1" x14ac:dyDescent="0.75"/>
    <row r="559" ht="14.25" customHeight="1" x14ac:dyDescent="0.75"/>
    <row r="560" ht="14.25" customHeight="1" x14ac:dyDescent="0.75"/>
    <row r="561" ht="14.25" customHeight="1" x14ac:dyDescent="0.75"/>
    <row r="562" ht="14.25" customHeight="1" x14ac:dyDescent="0.75"/>
    <row r="563" ht="14.25" customHeight="1" x14ac:dyDescent="0.75"/>
    <row r="564" ht="14.25" customHeight="1" x14ac:dyDescent="0.75"/>
    <row r="565" ht="14.25" customHeight="1" x14ac:dyDescent="0.75"/>
    <row r="566" ht="14.25" customHeight="1" x14ac:dyDescent="0.75"/>
    <row r="567" ht="14.25" customHeight="1" x14ac:dyDescent="0.75"/>
    <row r="568" ht="14.25" customHeight="1" x14ac:dyDescent="0.75"/>
    <row r="569" ht="14.25" customHeight="1" x14ac:dyDescent="0.75"/>
    <row r="570" ht="14.25" customHeight="1" x14ac:dyDescent="0.75"/>
    <row r="571" ht="14.25" customHeight="1" x14ac:dyDescent="0.75"/>
    <row r="572" ht="14.25" customHeight="1" x14ac:dyDescent="0.75"/>
    <row r="573" ht="14.25" customHeight="1" x14ac:dyDescent="0.75"/>
    <row r="574" ht="14.25" customHeight="1" x14ac:dyDescent="0.75"/>
    <row r="575" ht="14.25" customHeight="1" x14ac:dyDescent="0.75"/>
    <row r="576" ht="14.25" customHeight="1" x14ac:dyDescent="0.75"/>
    <row r="577" ht="14.25" customHeight="1" x14ac:dyDescent="0.75"/>
    <row r="578" ht="14.25" customHeight="1" x14ac:dyDescent="0.75"/>
    <row r="579" ht="14.25" customHeight="1" x14ac:dyDescent="0.75"/>
    <row r="580" ht="14.25" customHeight="1" x14ac:dyDescent="0.75"/>
    <row r="581" ht="14.25" customHeight="1" x14ac:dyDescent="0.75"/>
    <row r="582" ht="14.25" customHeight="1" x14ac:dyDescent="0.75"/>
    <row r="583" ht="14.25" customHeight="1" x14ac:dyDescent="0.75"/>
    <row r="584" ht="14.25" customHeight="1" x14ac:dyDescent="0.75"/>
    <row r="585" ht="14.25" customHeight="1" x14ac:dyDescent="0.75"/>
    <row r="586" ht="14.25" customHeight="1" x14ac:dyDescent="0.75"/>
    <row r="587" ht="14.25" customHeight="1" x14ac:dyDescent="0.75"/>
    <row r="588" ht="14.25" customHeight="1" x14ac:dyDescent="0.75"/>
    <row r="589" ht="14.25" customHeight="1" x14ac:dyDescent="0.75"/>
    <row r="590" ht="14.25" customHeight="1" x14ac:dyDescent="0.75"/>
    <row r="591" ht="14.25" customHeight="1" x14ac:dyDescent="0.75"/>
    <row r="592" ht="14.25" customHeight="1" x14ac:dyDescent="0.75"/>
    <row r="593" ht="14.25" customHeight="1" x14ac:dyDescent="0.75"/>
    <row r="594" ht="14.25" customHeight="1" x14ac:dyDescent="0.75"/>
    <row r="595" ht="14.25" customHeight="1" x14ac:dyDescent="0.75"/>
    <row r="596" ht="14.25" customHeight="1" x14ac:dyDescent="0.75"/>
    <row r="597" ht="14.25" customHeight="1" x14ac:dyDescent="0.75"/>
    <row r="598" ht="14.25" customHeight="1" x14ac:dyDescent="0.75"/>
    <row r="599" ht="14.25" customHeight="1" x14ac:dyDescent="0.75"/>
    <row r="600" ht="14.25" customHeight="1" x14ac:dyDescent="0.75"/>
    <row r="601" ht="14.25" customHeight="1" x14ac:dyDescent="0.75"/>
    <row r="602" ht="14.25" customHeight="1" x14ac:dyDescent="0.75"/>
    <row r="603" ht="14.25" customHeight="1" x14ac:dyDescent="0.75"/>
    <row r="604" ht="14.25" customHeight="1" x14ac:dyDescent="0.75"/>
    <row r="605" ht="14.25" customHeight="1" x14ac:dyDescent="0.75"/>
    <row r="606" ht="14.25" customHeight="1" x14ac:dyDescent="0.75"/>
    <row r="607" ht="14.25" customHeight="1" x14ac:dyDescent="0.75"/>
    <row r="608" ht="14.25" customHeight="1" x14ac:dyDescent="0.75"/>
    <row r="609" ht="14.25" customHeight="1" x14ac:dyDescent="0.75"/>
    <row r="610" ht="14.25" customHeight="1" x14ac:dyDescent="0.75"/>
    <row r="611" ht="14.25" customHeight="1" x14ac:dyDescent="0.75"/>
    <row r="612" ht="14.25" customHeight="1" x14ac:dyDescent="0.75"/>
    <row r="613" ht="14.25" customHeight="1" x14ac:dyDescent="0.75"/>
    <row r="614" ht="14.25" customHeight="1" x14ac:dyDescent="0.75"/>
    <row r="615" ht="14.25" customHeight="1" x14ac:dyDescent="0.75"/>
    <row r="616" ht="14.25" customHeight="1" x14ac:dyDescent="0.75"/>
    <row r="617" ht="14.25" customHeight="1" x14ac:dyDescent="0.75"/>
    <row r="618" ht="14.25" customHeight="1" x14ac:dyDescent="0.75"/>
    <row r="619" ht="14.25" customHeight="1" x14ac:dyDescent="0.75"/>
    <row r="620" ht="14.25" customHeight="1" x14ac:dyDescent="0.75"/>
    <row r="621" ht="14.25" customHeight="1" x14ac:dyDescent="0.75"/>
    <row r="622" ht="14.25" customHeight="1" x14ac:dyDescent="0.75"/>
    <row r="623" ht="14.25" customHeight="1" x14ac:dyDescent="0.75"/>
    <row r="624" ht="14.25" customHeight="1" x14ac:dyDescent="0.75"/>
    <row r="625" ht="14.25" customHeight="1" x14ac:dyDescent="0.75"/>
    <row r="626" ht="14.25" customHeight="1" x14ac:dyDescent="0.75"/>
    <row r="627" ht="14.25" customHeight="1" x14ac:dyDescent="0.75"/>
    <row r="628" ht="14.25" customHeight="1" x14ac:dyDescent="0.75"/>
    <row r="629" ht="14.25" customHeight="1" x14ac:dyDescent="0.75"/>
    <row r="630" ht="14.25" customHeight="1" x14ac:dyDescent="0.75"/>
    <row r="631" ht="14.25" customHeight="1" x14ac:dyDescent="0.75"/>
    <row r="632" ht="14.25" customHeight="1" x14ac:dyDescent="0.75"/>
    <row r="633" ht="14.25" customHeight="1" x14ac:dyDescent="0.75"/>
    <row r="634" ht="14.25" customHeight="1" x14ac:dyDescent="0.75"/>
    <row r="635" ht="14.25" customHeight="1" x14ac:dyDescent="0.75"/>
    <row r="636" ht="14.25" customHeight="1" x14ac:dyDescent="0.75"/>
    <row r="637" ht="14.25" customHeight="1" x14ac:dyDescent="0.75"/>
    <row r="638" ht="14.25" customHeight="1" x14ac:dyDescent="0.75"/>
    <row r="639" ht="14.25" customHeight="1" x14ac:dyDescent="0.75"/>
    <row r="640" ht="14.25" customHeight="1" x14ac:dyDescent="0.75"/>
    <row r="641" ht="14.25" customHeight="1" x14ac:dyDescent="0.75"/>
    <row r="642" ht="14.25" customHeight="1" x14ac:dyDescent="0.75"/>
    <row r="643" ht="14.25" customHeight="1" x14ac:dyDescent="0.75"/>
    <row r="644" ht="14.25" customHeight="1" x14ac:dyDescent="0.75"/>
    <row r="645" ht="14.25" customHeight="1" x14ac:dyDescent="0.75"/>
    <row r="646" ht="14.25" customHeight="1" x14ac:dyDescent="0.75"/>
    <row r="647" ht="14.25" customHeight="1" x14ac:dyDescent="0.75"/>
    <row r="648" ht="14.25" customHeight="1" x14ac:dyDescent="0.75"/>
    <row r="649" ht="14.25" customHeight="1" x14ac:dyDescent="0.75"/>
    <row r="650" ht="14.25" customHeight="1" x14ac:dyDescent="0.75"/>
    <row r="651" ht="14.25" customHeight="1" x14ac:dyDescent="0.75"/>
    <row r="652" ht="14.25" customHeight="1" x14ac:dyDescent="0.75"/>
    <row r="653" ht="14.25" customHeight="1" x14ac:dyDescent="0.75"/>
    <row r="654" ht="14.25" customHeight="1" x14ac:dyDescent="0.75"/>
    <row r="655" ht="14.25" customHeight="1" x14ac:dyDescent="0.75"/>
    <row r="656" ht="14.25" customHeight="1" x14ac:dyDescent="0.75"/>
    <row r="657" ht="14.25" customHeight="1" x14ac:dyDescent="0.75"/>
    <row r="658" ht="14.25" customHeight="1" x14ac:dyDescent="0.75"/>
    <row r="659" ht="14.25" customHeight="1" x14ac:dyDescent="0.75"/>
    <row r="660" ht="14.25" customHeight="1" x14ac:dyDescent="0.75"/>
    <row r="661" ht="14.25" customHeight="1" x14ac:dyDescent="0.75"/>
    <row r="662" ht="14.25" customHeight="1" x14ac:dyDescent="0.75"/>
    <row r="663" ht="14.25" customHeight="1" x14ac:dyDescent="0.75"/>
    <row r="664" ht="14.25" customHeight="1" x14ac:dyDescent="0.75"/>
    <row r="665" ht="14.25" customHeight="1" x14ac:dyDescent="0.75"/>
    <row r="666" ht="14.25" customHeight="1" x14ac:dyDescent="0.75"/>
    <row r="667" ht="14.25" customHeight="1" x14ac:dyDescent="0.75"/>
    <row r="668" ht="14.25" customHeight="1" x14ac:dyDescent="0.75"/>
    <row r="669" ht="14.25" customHeight="1" x14ac:dyDescent="0.75"/>
    <row r="670" ht="14.25" customHeight="1" x14ac:dyDescent="0.75"/>
    <row r="671" ht="14.25" customHeight="1" x14ac:dyDescent="0.75"/>
    <row r="672" ht="14.25" customHeight="1" x14ac:dyDescent="0.75"/>
    <row r="673" ht="14.25" customHeight="1" x14ac:dyDescent="0.75"/>
    <row r="674" ht="14.25" customHeight="1" x14ac:dyDescent="0.75"/>
    <row r="675" ht="14.25" customHeight="1" x14ac:dyDescent="0.75"/>
    <row r="676" ht="14.25" customHeight="1" x14ac:dyDescent="0.75"/>
    <row r="677" ht="14.25" customHeight="1" x14ac:dyDescent="0.75"/>
    <row r="678" ht="14.25" customHeight="1" x14ac:dyDescent="0.75"/>
    <row r="679" ht="14.25" customHeight="1" x14ac:dyDescent="0.75"/>
    <row r="680" ht="14.25" customHeight="1" x14ac:dyDescent="0.75"/>
    <row r="681" ht="14.25" customHeight="1" x14ac:dyDescent="0.75"/>
    <row r="682" ht="14.25" customHeight="1" x14ac:dyDescent="0.75"/>
    <row r="683" ht="14.25" customHeight="1" x14ac:dyDescent="0.75"/>
    <row r="684" ht="14.25" customHeight="1" x14ac:dyDescent="0.75"/>
    <row r="685" ht="14.25" customHeight="1" x14ac:dyDescent="0.75"/>
    <row r="686" ht="14.25" customHeight="1" x14ac:dyDescent="0.75"/>
    <row r="687" ht="14.25" customHeight="1" x14ac:dyDescent="0.75"/>
    <row r="688" ht="14.25" customHeight="1" x14ac:dyDescent="0.75"/>
    <row r="689" ht="14.25" customHeight="1" x14ac:dyDescent="0.75"/>
    <row r="690" ht="14.25" customHeight="1" x14ac:dyDescent="0.75"/>
    <row r="691" ht="14.25" customHeight="1" x14ac:dyDescent="0.75"/>
    <row r="692" ht="14.25" customHeight="1" x14ac:dyDescent="0.75"/>
    <row r="693" ht="14.25" customHeight="1" x14ac:dyDescent="0.75"/>
    <row r="694" ht="14.25" customHeight="1" x14ac:dyDescent="0.75"/>
    <row r="695" ht="14.25" customHeight="1" x14ac:dyDescent="0.75"/>
    <row r="696" ht="14.25" customHeight="1" x14ac:dyDescent="0.75"/>
    <row r="697" ht="14.25" customHeight="1" x14ac:dyDescent="0.75"/>
    <row r="698" ht="14.25" customHeight="1" x14ac:dyDescent="0.75"/>
    <row r="699" ht="14.25" customHeight="1" x14ac:dyDescent="0.75"/>
    <row r="700" ht="14.25" customHeight="1" x14ac:dyDescent="0.75"/>
    <row r="701" ht="14.25" customHeight="1" x14ac:dyDescent="0.75"/>
    <row r="702" ht="14.25" customHeight="1" x14ac:dyDescent="0.75"/>
    <row r="703" ht="14.25" customHeight="1" x14ac:dyDescent="0.75"/>
    <row r="704" ht="14.25" customHeight="1" x14ac:dyDescent="0.75"/>
    <row r="705" ht="14.25" customHeight="1" x14ac:dyDescent="0.75"/>
    <row r="706" ht="14.25" customHeight="1" x14ac:dyDescent="0.75"/>
    <row r="707" ht="14.25" customHeight="1" x14ac:dyDescent="0.75"/>
    <row r="708" ht="14.25" customHeight="1" x14ac:dyDescent="0.75"/>
    <row r="709" ht="14.25" customHeight="1" x14ac:dyDescent="0.75"/>
    <row r="710" ht="14.25" customHeight="1" x14ac:dyDescent="0.75"/>
    <row r="711" ht="14.25" customHeight="1" x14ac:dyDescent="0.75"/>
    <row r="712" ht="14.25" customHeight="1" x14ac:dyDescent="0.75"/>
    <row r="713" ht="14.25" customHeight="1" x14ac:dyDescent="0.75"/>
    <row r="714" ht="14.25" customHeight="1" x14ac:dyDescent="0.75"/>
    <row r="715" ht="14.25" customHeight="1" x14ac:dyDescent="0.75"/>
    <row r="716" ht="14.25" customHeight="1" x14ac:dyDescent="0.75"/>
    <row r="717" ht="14.25" customHeight="1" x14ac:dyDescent="0.75"/>
    <row r="718" ht="14.25" customHeight="1" x14ac:dyDescent="0.75"/>
    <row r="719" ht="14.25" customHeight="1" x14ac:dyDescent="0.75"/>
    <row r="720" ht="14.25" customHeight="1" x14ac:dyDescent="0.75"/>
    <row r="721" ht="14.25" customHeight="1" x14ac:dyDescent="0.75"/>
    <row r="722" ht="14.25" customHeight="1" x14ac:dyDescent="0.75"/>
    <row r="723" ht="14.25" customHeight="1" x14ac:dyDescent="0.75"/>
    <row r="724" ht="14.25" customHeight="1" x14ac:dyDescent="0.75"/>
    <row r="725" ht="14.25" customHeight="1" x14ac:dyDescent="0.75"/>
    <row r="726" ht="14.25" customHeight="1" x14ac:dyDescent="0.75"/>
    <row r="727" ht="14.25" customHeight="1" x14ac:dyDescent="0.75"/>
    <row r="728" ht="14.25" customHeight="1" x14ac:dyDescent="0.75"/>
    <row r="729" ht="14.25" customHeight="1" x14ac:dyDescent="0.75"/>
    <row r="730" ht="14.25" customHeight="1" x14ac:dyDescent="0.75"/>
    <row r="731" ht="14.25" customHeight="1" x14ac:dyDescent="0.75"/>
    <row r="732" ht="14.25" customHeight="1" x14ac:dyDescent="0.75"/>
    <row r="733" ht="14.25" customHeight="1" x14ac:dyDescent="0.75"/>
    <row r="734" ht="14.25" customHeight="1" x14ac:dyDescent="0.75"/>
    <row r="735" ht="14.25" customHeight="1" x14ac:dyDescent="0.75"/>
    <row r="736" ht="14.25" customHeight="1" x14ac:dyDescent="0.75"/>
    <row r="737" ht="14.25" customHeight="1" x14ac:dyDescent="0.75"/>
    <row r="738" ht="14.25" customHeight="1" x14ac:dyDescent="0.75"/>
    <row r="739" ht="14.25" customHeight="1" x14ac:dyDescent="0.75"/>
    <row r="740" ht="14.25" customHeight="1" x14ac:dyDescent="0.75"/>
    <row r="741" ht="14.25" customHeight="1" x14ac:dyDescent="0.75"/>
    <row r="742" ht="14.25" customHeight="1" x14ac:dyDescent="0.75"/>
    <row r="743" ht="14.25" customHeight="1" x14ac:dyDescent="0.75"/>
    <row r="744" ht="14.25" customHeight="1" x14ac:dyDescent="0.75"/>
    <row r="745" ht="14.25" customHeight="1" x14ac:dyDescent="0.75"/>
    <row r="746" ht="14.25" customHeight="1" x14ac:dyDescent="0.75"/>
    <row r="747" ht="14.25" customHeight="1" x14ac:dyDescent="0.75"/>
    <row r="748" ht="14.25" customHeight="1" x14ac:dyDescent="0.75"/>
    <row r="749" ht="14.25" customHeight="1" x14ac:dyDescent="0.75"/>
    <row r="750" ht="14.25" customHeight="1" x14ac:dyDescent="0.75"/>
    <row r="751" ht="14.25" customHeight="1" x14ac:dyDescent="0.75"/>
    <row r="752" ht="14.25" customHeight="1" x14ac:dyDescent="0.75"/>
    <row r="753" ht="14.25" customHeight="1" x14ac:dyDescent="0.75"/>
    <row r="754" ht="14.25" customHeight="1" x14ac:dyDescent="0.75"/>
    <row r="755" ht="14.25" customHeight="1" x14ac:dyDescent="0.75"/>
    <row r="756" ht="14.25" customHeight="1" x14ac:dyDescent="0.75"/>
    <row r="757" ht="14.25" customHeight="1" x14ac:dyDescent="0.75"/>
    <row r="758" ht="14.25" customHeight="1" x14ac:dyDescent="0.75"/>
    <row r="759" ht="14.25" customHeight="1" x14ac:dyDescent="0.75"/>
    <row r="760" ht="14.25" customHeight="1" x14ac:dyDescent="0.75"/>
    <row r="761" ht="14.25" customHeight="1" x14ac:dyDescent="0.75"/>
    <row r="762" ht="14.25" customHeight="1" x14ac:dyDescent="0.75"/>
    <row r="763" ht="14.25" customHeight="1" x14ac:dyDescent="0.75"/>
    <row r="764" ht="14.25" customHeight="1" x14ac:dyDescent="0.75"/>
    <row r="765" ht="14.25" customHeight="1" x14ac:dyDescent="0.75"/>
    <row r="766" ht="14.25" customHeight="1" x14ac:dyDescent="0.75"/>
    <row r="767" ht="14.25" customHeight="1" x14ac:dyDescent="0.75"/>
    <row r="768" ht="14.25" customHeight="1" x14ac:dyDescent="0.75"/>
    <row r="769" ht="14.25" customHeight="1" x14ac:dyDescent="0.75"/>
    <row r="770" ht="14.25" customHeight="1" x14ac:dyDescent="0.75"/>
    <row r="771" ht="14.25" customHeight="1" x14ac:dyDescent="0.75"/>
    <row r="772" ht="14.25" customHeight="1" x14ac:dyDescent="0.75"/>
    <row r="773" ht="14.25" customHeight="1" x14ac:dyDescent="0.75"/>
    <row r="774" ht="14.25" customHeight="1" x14ac:dyDescent="0.75"/>
    <row r="775" ht="14.25" customHeight="1" x14ac:dyDescent="0.75"/>
    <row r="776" ht="14.25" customHeight="1" x14ac:dyDescent="0.75"/>
    <row r="777" ht="14.25" customHeight="1" x14ac:dyDescent="0.75"/>
    <row r="778" ht="14.25" customHeight="1" x14ac:dyDescent="0.75"/>
    <row r="779" ht="14.25" customHeight="1" x14ac:dyDescent="0.75"/>
    <row r="780" ht="14.25" customHeight="1" x14ac:dyDescent="0.75"/>
    <row r="781" ht="14.25" customHeight="1" x14ac:dyDescent="0.75"/>
    <row r="782" ht="14.25" customHeight="1" x14ac:dyDescent="0.75"/>
    <row r="783" ht="14.25" customHeight="1" x14ac:dyDescent="0.75"/>
    <row r="784" ht="14.25" customHeight="1" x14ac:dyDescent="0.75"/>
    <row r="785" ht="14.25" customHeight="1" x14ac:dyDescent="0.75"/>
    <row r="786" ht="14.25" customHeight="1" x14ac:dyDescent="0.75"/>
    <row r="787" ht="14.25" customHeight="1" x14ac:dyDescent="0.75"/>
    <row r="788" ht="14.25" customHeight="1" x14ac:dyDescent="0.75"/>
    <row r="789" ht="14.25" customHeight="1" x14ac:dyDescent="0.75"/>
    <row r="790" ht="14.25" customHeight="1" x14ac:dyDescent="0.75"/>
    <row r="791" ht="14.25" customHeight="1" x14ac:dyDescent="0.75"/>
    <row r="792" ht="14.25" customHeight="1" x14ac:dyDescent="0.75"/>
    <row r="793" ht="14.25" customHeight="1" x14ac:dyDescent="0.75"/>
    <row r="794" ht="14.25" customHeight="1" x14ac:dyDescent="0.75"/>
    <row r="795" ht="14.25" customHeight="1" x14ac:dyDescent="0.75"/>
    <row r="796" ht="14.25" customHeight="1" x14ac:dyDescent="0.75"/>
    <row r="797" ht="14.25" customHeight="1" x14ac:dyDescent="0.75"/>
    <row r="798" ht="14.25" customHeight="1" x14ac:dyDescent="0.75"/>
    <row r="799" ht="14.25" customHeight="1" x14ac:dyDescent="0.75"/>
    <row r="800" ht="14.25" customHeight="1" x14ac:dyDescent="0.75"/>
    <row r="801" ht="14.25" customHeight="1" x14ac:dyDescent="0.75"/>
    <row r="802" ht="14.25" customHeight="1" x14ac:dyDescent="0.75"/>
    <row r="803" ht="14.25" customHeight="1" x14ac:dyDescent="0.75"/>
    <row r="804" ht="14.25" customHeight="1" x14ac:dyDescent="0.75"/>
    <row r="805" ht="14.25" customHeight="1" x14ac:dyDescent="0.75"/>
    <row r="806" ht="14.25" customHeight="1" x14ac:dyDescent="0.75"/>
    <row r="807" ht="14.25" customHeight="1" x14ac:dyDescent="0.75"/>
    <row r="808" ht="14.25" customHeight="1" x14ac:dyDescent="0.75"/>
    <row r="809" ht="14.25" customHeight="1" x14ac:dyDescent="0.75"/>
    <row r="810" ht="14.25" customHeight="1" x14ac:dyDescent="0.75"/>
    <row r="811" ht="14.25" customHeight="1" x14ac:dyDescent="0.75"/>
    <row r="812" ht="14.25" customHeight="1" x14ac:dyDescent="0.75"/>
    <row r="813" ht="14.25" customHeight="1" x14ac:dyDescent="0.75"/>
    <row r="814" ht="14.25" customHeight="1" x14ac:dyDescent="0.75"/>
    <row r="815" ht="14.25" customHeight="1" x14ac:dyDescent="0.75"/>
    <row r="816" ht="14.25" customHeight="1" x14ac:dyDescent="0.75"/>
    <row r="817" ht="14.25" customHeight="1" x14ac:dyDescent="0.75"/>
    <row r="818" ht="14.25" customHeight="1" x14ac:dyDescent="0.75"/>
    <row r="819" ht="14.25" customHeight="1" x14ac:dyDescent="0.75"/>
    <row r="820" ht="14.25" customHeight="1" x14ac:dyDescent="0.75"/>
    <row r="821" ht="14.25" customHeight="1" x14ac:dyDescent="0.75"/>
    <row r="822" ht="14.25" customHeight="1" x14ac:dyDescent="0.75"/>
    <row r="823" ht="14.25" customHeight="1" x14ac:dyDescent="0.75"/>
    <row r="824" ht="14.25" customHeight="1" x14ac:dyDescent="0.75"/>
    <row r="825" ht="14.25" customHeight="1" x14ac:dyDescent="0.75"/>
    <row r="826" ht="14.25" customHeight="1" x14ac:dyDescent="0.75"/>
    <row r="827" ht="14.25" customHeight="1" x14ac:dyDescent="0.75"/>
    <row r="828" ht="14.25" customHeight="1" x14ac:dyDescent="0.75"/>
    <row r="829" ht="14.25" customHeight="1" x14ac:dyDescent="0.75"/>
    <row r="830" ht="14.25" customHeight="1" x14ac:dyDescent="0.75"/>
    <row r="831" ht="14.25" customHeight="1" x14ac:dyDescent="0.75"/>
    <row r="832" ht="14.25" customHeight="1" x14ac:dyDescent="0.75"/>
    <row r="833" ht="14.25" customHeight="1" x14ac:dyDescent="0.75"/>
    <row r="834" ht="14.25" customHeight="1" x14ac:dyDescent="0.75"/>
    <row r="835" ht="14.25" customHeight="1" x14ac:dyDescent="0.75"/>
    <row r="836" ht="14.25" customHeight="1" x14ac:dyDescent="0.75"/>
    <row r="837" ht="14.25" customHeight="1" x14ac:dyDescent="0.75"/>
    <row r="838" ht="14.25" customHeight="1" x14ac:dyDescent="0.75"/>
    <row r="839" ht="14.25" customHeight="1" x14ac:dyDescent="0.75"/>
    <row r="840" ht="14.25" customHeight="1" x14ac:dyDescent="0.75"/>
    <row r="841" ht="14.25" customHeight="1" x14ac:dyDescent="0.75"/>
    <row r="842" ht="14.25" customHeight="1" x14ac:dyDescent="0.75"/>
    <row r="843" ht="14.25" customHeight="1" x14ac:dyDescent="0.75"/>
    <row r="844" ht="14.25" customHeight="1" x14ac:dyDescent="0.75"/>
    <row r="845" ht="14.25" customHeight="1" x14ac:dyDescent="0.75"/>
    <row r="846" ht="14.25" customHeight="1" x14ac:dyDescent="0.75"/>
    <row r="847" ht="14.25" customHeight="1" x14ac:dyDescent="0.75"/>
    <row r="848" ht="14.25" customHeight="1" x14ac:dyDescent="0.75"/>
    <row r="849" ht="14.25" customHeight="1" x14ac:dyDescent="0.75"/>
    <row r="850" ht="14.25" customHeight="1" x14ac:dyDescent="0.75"/>
    <row r="851" ht="14.25" customHeight="1" x14ac:dyDescent="0.75"/>
    <row r="852" ht="14.25" customHeight="1" x14ac:dyDescent="0.75"/>
    <row r="853" ht="14.25" customHeight="1" x14ac:dyDescent="0.75"/>
    <row r="854" ht="14.25" customHeight="1" x14ac:dyDescent="0.75"/>
    <row r="855" ht="14.25" customHeight="1" x14ac:dyDescent="0.75"/>
    <row r="856" ht="14.25" customHeight="1" x14ac:dyDescent="0.75"/>
    <row r="857" ht="14.25" customHeight="1" x14ac:dyDescent="0.75"/>
    <row r="858" ht="14.25" customHeight="1" x14ac:dyDescent="0.75"/>
    <row r="859" ht="14.25" customHeight="1" x14ac:dyDescent="0.75"/>
    <row r="860" ht="14.25" customHeight="1" x14ac:dyDescent="0.75"/>
    <row r="861" ht="14.25" customHeight="1" x14ac:dyDescent="0.75"/>
    <row r="862" ht="14.25" customHeight="1" x14ac:dyDescent="0.75"/>
    <row r="863" ht="14.25" customHeight="1" x14ac:dyDescent="0.75"/>
    <row r="864" ht="14.25" customHeight="1" x14ac:dyDescent="0.75"/>
    <row r="865" ht="14.25" customHeight="1" x14ac:dyDescent="0.75"/>
    <row r="866" ht="14.25" customHeight="1" x14ac:dyDescent="0.75"/>
    <row r="867" ht="14.25" customHeight="1" x14ac:dyDescent="0.75"/>
    <row r="868" ht="14.25" customHeight="1" x14ac:dyDescent="0.75"/>
    <row r="869" ht="14.25" customHeight="1" x14ac:dyDescent="0.75"/>
    <row r="870" ht="14.25" customHeight="1" x14ac:dyDescent="0.75"/>
    <row r="871" ht="14.25" customHeight="1" x14ac:dyDescent="0.75"/>
    <row r="872" ht="14.25" customHeight="1" x14ac:dyDescent="0.75"/>
    <row r="873" ht="14.25" customHeight="1" x14ac:dyDescent="0.75"/>
    <row r="874" ht="14.25" customHeight="1" x14ac:dyDescent="0.75"/>
    <row r="875" ht="14.25" customHeight="1" x14ac:dyDescent="0.75"/>
    <row r="876" ht="14.25" customHeight="1" x14ac:dyDescent="0.75"/>
    <row r="877" ht="14.25" customHeight="1" x14ac:dyDescent="0.75"/>
    <row r="878" ht="14.25" customHeight="1" x14ac:dyDescent="0.75"/>
    <row r="879" ht="14.25" customHeight="1" x14ac:dyDescent="0.75"/>
    <row r="880" ht="14.25" customHeight="1" x14ac:dyDescent="0.75"/>
    <row r="881" ht="14.25" customHeight="1" x14ac:dyDescent="0.75"/>
    <row r="882" ht="14.25" customHeight="1" x14ac:dyDescent="0.75"/>
    <row r="883" ht="14.25" customHeight="1" x14ac:dyDescent="0.75"/>
    <row r="884" ht="14.25" customHeight="1" x14ac:dyDescent="0.75"/>
    <row r="885" ht="14.25" customHeight="1" x14ac:dyDescent="0.75"/>
    <row r="886" ht="14.25" customHeight="1" x14ac:dyDescent="0.75"/>
    <row r="887" ht="14.25" customHeight="1" x14ac:dyDescent="0.75"/>
    <row r="888" ht="14.25" customHeight="1" x14ac:dyDescent="0.75"/>
    <row r="889" ht="14.25" customHeight="1" x14ac:dyDescent="0.75"/>
    <row r="890" ht="14.25" customHeight="1" x14ac:dyDescent="0.75"/>
    <row r="891" ht="14.25" customHeight="1" x14ac:dyDescent="0.75"/>
    <row r="892" ht="14.25" customHeight="1" x14ac:dyDescent="0.75"/>
    <row r="893" ht="14.25" customHeight="1" x14ac:dyDescent="0.75"/>
    <row r="894" ht="14.25" customHeight="1" x14ac:dyDescent="0.75"/>
    <row r="895" ht="14.25" customHeight="1" x14ac:dyDescent="0.75"/>
    <row r="896" ht="14.25" customHeight="1" x14ac:dyDescent="0.75"/>
    <row r="897" ht="14.25" customHeight="1" x14ac:dyDescent="0.75"/>
    <row r="898" ht="14.25" customHeight="1" x14ac:dyDescent="0.75"/>
    <row r="899" ht="14.25" customHeight="1" x14ac:dyDescent="0.75"/>
    <row r="900" ht="14.25" customHeight="1" x14ac:dyDescent="0.75"/>
    <row r="901" ht="14.25" customHeight="1" x14ac:dyDescent="0.75"/>
    <row r="902" ht="14.25" customHeight="1" x14ac:dyDescent="0.75"/>
    <row r="903" ht="14.25" customHeight="1" x14ac:dyDescent="0.75"/>
    <row r="904" ht="14.25" customHeight="1" x14ac:dyDescent="0.75"/>
    <row r="905" ht="14.25" customHeight="1" x14ac:dyDescent="0.75"/>
    <row r="906" ht="14.25" customHeight="1" x14ac:dyDescent="0.75"/>
    <row r="907" ht="14.25" customHeight="1" x14ac:dyDescent="0.75"/>
    <row r="908" ht="14.25" customHeight="1" x14ac:dyDescent="0.75"/>
    <row r="909" ht="14.25" customHeight="1" x14ac:dyDescent="0.75"/>
    <row r="910" ht="14.25" customHeight="1" x14ac:dyDescent="0.75"/>
    <row r="911" ht="14.25" customHeight="1" x14ac:dyDescent="0.75"/>
    <row r="912" ht="14.25" customHeight="1" x14ac:dyDescent="0.75"/>
    <row r="913" ht="14.25" customHeight="1" x14ac:dyDescent="0.75"/>
    <row r="914" ht="14.25" customHeight="1" x14ac:dyDescent="0.75"/>
    <row r="915" ht="14.25" customHeight="1" x14ac:dyDescent="0.75"/>
    <row r="916" ht="14.25" customHeight="1" x14ac:dyDescent="0.75"/>
    <row r="917" ht="14.25" customHeight="1" x14ac:dyDescent="0.75"/>
    <row r="918" ht="14.25" customHeight="1" x14ac:dyDescent="0.75"/>
    <row r="919" ht="14.25" customHeight="1" x14ac:dyDescent="0.75"/>
    <row r="920" ht="14.25" customHeight="1" x14ac:dyDescent="0.75"/>
    <row r="921" ht="14.25" customHeight="1" x14ac:dyDescent="0.75"/>
    <row r="922" ht="14.25" customHeight="1" x14ac:dyDescent="0.75"/>
    <row r="923" ht="14.25" customHeight="1" x14ac:dyDescent="0.75"/>
    <row r="924" ht="14.25" customHeight="1" x14ac:dyDescent="0.75"/>
    <row r="925" ht="14.25" customHeight="1" x14ac:dyDescent="0.75"/>
    <row r="926" ht="14.25" customHeight="1" x14ac:dyDescent="0.75"/>
    <row r="927" ht="14.25" customHeight="1" x14ac:dyDescent="0.75"/>
    <row r="928" ht="14.25" customHeight="1" x14ac:dyDescent="0.75"/>
    <row r="929" ht="14.25" customHeight="1" x14ac:dyDescent="0.75"/>
    <row r="930" ht="14.25" customHeight="1" x14ac:dyDescent="0.75"/>
    <row r="931" ht="14.25" customHeight="1" x14ac:dyDescent="0.75"/>
    <row r="932" ht="14.25" customHeight="1" x14ac:dyDescent="0.75"/>
    <row r="933" ht="14.25" customHeight="1" x14ac:dyDescent="0.75"/>
    <row r="934" ht="14.25" customHeight="1" x14ac:dyDescent="0.75"/>
    <row r="935" ht="14.25" customHeight="1" x14ac:dyDescent="0.75"/>
    <row r="936" ht="14.25" customHeight="1" x14ac:dyDescent="0.75"/>
    <row r="937" ht="14.25" customHeight="1" x14ac:dyDescent="0.75"/>
    <row r="938" ht="14.25" customHeight="1" x14ac:dyDescent="0.75"/>
    <row r="939" ht="14.25" customHeight="1" x14ac:dyDescent="0.75"/>
    <row r="940" ht="14.25" customHeight="1" x14ac:dyDescent="0.75"/>
    <row r="941" ht="14.25" customHeight="1" x14ac:dyDescent="0.75"/>
    <row r="942" ht="14.25" customHeight="1" x14ac:dyDescent="0.75"/>
    <row r="943" ht="14.25" customHeight="1" x14ac:dyDescent="0.75"/>
    <row r="944" ht="14.25" customHeight="1" x14ac:dyDescent="0.75"/>
    <row r="945" ht="14.25" customHeight="1" x14ac:dyDescent="0.75"/>
    <row r="946" ht="14.25" customHeight="1" x14ac:dyDescent="0.75"/>
    <row r="947" ht="14.25" customHeight="1" x14ac:dyDescent="0.75"/>
    <row r="948" ht="14.25" customHeight="1" x14ac:dyDescent="0.75"/>
    <row r="949" ht="14.25" customHeight="1" x14ac:dyDescent="0.75"/>
    <row r="950" ht="14.25" customHeight="1" x14ac:dyDescent="0.75"/>
    <row r="951" ht="14.25" customHeight="1" x14ac:dyDescent="0.75"/>
    <row r="952" ht="14.25" customHeight="1" x14ac:dyDescent="0.75"/>
    <row r="953" ht="14.25" customHeight="1" x14ac:dyDescent="0.75"/>
    <row r="954" ht="14.25" customHeight="1" x14ac:dyDescent="0.75"/>
    <row r="955" ht="14.25" customHeight="1" x14ac:dyDescent="0.75"/>
    <row r="956" ht="14.25" customHeight="1" x14ac:dyDescent="0.75"/>
    <row r="957" ht="14.25" customHeight="1" x14ac:dyDescent="0.75"/>
    <row r="958" ht="14.25" customHeight="1" x14ac:dyDescent="0.75"/>
    <row r="959" ht="14.25" customHeight="1" x14ac:dyDescent="0.75"/>
    <row r="960" ht="14.25" customHeight="1" x14ac:dyDescent="0.75"/>
    <row r="961" ht="14.25" customHeight="1" x14ac:dyDescent="0.75"/>
    <row r="962" ht="14.25" customHeight="1" x14ac:dyDescent="0.75"/>
    <row r="963" ht="14.25" customHeight="1" x14ac:dyDescent="0.75"/>
    <row r="964" ht="14.25" customHeight="1" x14ac:dyDescent="0.75"/>
    <row r="965" ht="14.25" customHeight="1" x14ac:dyDescent="0.75"/>
    <row r="966" ht="14.25" customHeight="1" x14ac:dyDescent="0.75"/>
    <row r="967" ht="14.25" customHeight="1" x14ac:dyDescent="0.75"/>
    <row r="968" ht="14.25" customHeight="1" x14ac:dyDescent="0.75"/>
    <row r="969" ht="14.25" customHeight="1" x14ac:dyDescent="0.75"/>
    <row r="970" ht="14.25" customHeight="1" x14ac:dyDescent="0.75"/>
    <row r="971" ht="14.25" customHeight="1" x14ac:dyDescent="0.75"/>
    <row r="972" ht="14.25" customHeight="1" x14ac:dyDescent="0.75"/>
    <row r="973" ht="14.25" customHeight="1" x14ac:dyDescent="0.75"/>
    <row r="974" ht="14.25" customHeight="1" x14ac:dyDescent="0.75"/>
    <row r="975" ht="14.25" customHeight="1" x14ac:dyDescent="0.75"/>
    <row r="976" ht="14.25" customHeight="1" x14ac:dyDescent="0.75"/>
    <row r="977" ht="14.25" customHeight="1" x14ac:dyDescent="0.75"/>
    <row r="978" ht="14.25" customHeight="1" x14ac:dyDescent="0.75"/>
    <row r="979" ht="14.25" customHeight="1" x14ac:dyDescent="0.75"/>
    <row r="980" ht="14.25" customHeight="1" x14ac:dyDescent="0.75"/>
    <row r="981" ht="14.25" customHeight="1" x14ac:dyDescent="0.75"/>
    <row r="982" ht="14.25" customHeight="1" x14ac:dyDescent="0.75"/>
    <row r="983" ht="14.25" customHeight="1" x14ac:dyDescent="0.75"/>
    <row r="984" ht="14.25" customHeight="1" x14ac:dyDescent="0.75"/>
    <row r="985" ht="14.25" customHeight="1" x14ac:dyDescent="0.75"/>
    <row r="986" ht="14.25" customHeight="1" x14ac:dyDescent="0.75"/>
    <row r="987" ht="14.25" customHeight="1" x14ac:dyDescent="0.75"/>
    <row r="988" ht="14.25" customHeight="1" x14ac:dyDescent="0.75"/>
    <row r="989" ht="14.25" customHeight="1" x14ac:dyDescent="0.75"/>
    <row r="990" ht="14.25" customHeight="1" x14ac:dyDescent="0.75"/>
    <row r="991" ht="14.25" customHeight="1" x14ac:dyDescent="0.75"/>
    <row r="992" ht="14.25" customHeight="1" x14ac:dyDescent="0.75"/>
    <row r="993" ht="14.25" customHeight="1" x14ac:dyDescent="0.75"/>
    <row r="994" ht="14.25" customHeight="1" x14ac:dyDescent="0.75"/>
    <row r="995" ht="14.25" customHeight="1" x14ac:dyDescent="0.75"/>
    <row r="996" ht="14.25" customHeight="1" x14ac:dyDescent="0.75"/>
    <row r="997" ht="14.25" customHeight="1" x14ac:dyDescent="0.75"/>
    <row r="998" ht="14.25" customHeight="1" x14ac:dyDescent="0.75"/>
    <row r="999" ht="14.25" customHeight="1" x14ac:dyDescent="0.75"/>
  </sheetData>
  <mergeCells count="1">
    <mergeCell ref="S9:T9"/>
  </mergeCells>
  <conditionalFormatting sqref="O9:T9 B2:M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Learning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Wall</cp:lastModifiedBy>
  <dcterms:created xsi:type="dcterms:W3CDTF">2025-11-20T23:12:01Z</dcterms:created>
  <dcterms:modified xsi:type="dcterms:W3CDTF">2025-12-06T20:04:01Z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d807a6-6916-4412-9e7f-2e6485c7dfca_Enabled">
    <vt:lpwstr>true</vt:lpwstr>
  </property>
  <property fmtid="{D5CDD505-2E9C-101B-9397-08002B2CF9AE}" pid="3" name="MSIP_Label_9ad807a6-6916-4412-9e7f-2e6485c7dfca_SetDate">
    <vt:lpwstr>2025-11-20T23:15:21Z</vt:lpwstr>
  </property>
  <property fmtid="{D5CDD505-2E9C-101B-9397-08002B2CF9AE}" pid="4" name="MSIP_Label_9ad807a6-6916-4412-9e7f-2e6485c7dfca_Method">
    <vt:lpwstr>Privileged</vt:lpwstr>
  </property>
  <property fmtid="{D5CDD505-2E9C-101B-9397-08002B2CF9AE}" pid="5" name="MSIP_Label_9ad807a6-6916-4412-9e7f-2e6485c7dfca_Name">
    <vt:lpwstr>Unrestricted - Visual Marking - NO</vt:lpwstr>
  </property>
  <property fmtid="{D5CDD505-2E9C-101B-9397-08002B2CF9AE}" pid="6" name="MSIP_Label_9ad807a6-6916-4412-9e7f-2e6485c7dfca_SiteId">
    <vt:lpwstr>a84d585b-574d-4eb7-be2a-eaea93ef7b1f</vt:lpwstr>
  </property>
  <property fmtid="{D5CDD505-2E9C-101B-9397-08002B2CF9AE}" pid="7" name="MSIP_Label_9ad807a6-6916-4412-9e7f-2e6485c7dfca_ActionId">
    <vt:lpwstr>fb0abbe8-638a-49cf-b1c8-d0f71a02e97f</vt:lpwstr>
  </property>
  <property fmtid="{D5CDD505-2E9C-101B-9397-08002B2CF9AE}" pid="8" name="MSIP_Label_9ad807a6-6916-4412-9e7f-2e6485c7dfca_ContentBits">
    <vt:lpwstr>0</vt:lpwstr>
  </property>
  <property fmtid="{D5CDD505-2E9C-101B-9397-08002B2CF9AE}" pid="9" name="MSIP_Label_9ad807a6-6916-4412-9e7f-2e6485c7dfca_Tag">
    <vt:lpwstr>10, 0, 1, 1</vt:lpwstr>
  </property>
</Properties>
</file>